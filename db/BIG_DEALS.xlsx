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quicksas-my.sharepoint.com/personal/quickbi_quicksas_onmicrosoft_com/Documents/INFORMES/LICITACIONES/db/"/>
    </mc:Choice>
  </mc:AlternateContent>
  <xr:revisionPtr revIDLastSave="193" documentId="8_{95DB16F5-D834-4D05-AE16-0C4D7DF7A577}" xr6:coauthVersionLast="47" xr6:coauthVersionMax="47" xr10:uidLastSave="{63B3AEBC-04D7-4459-B630-086E2CD31FDA}"/>
  <bookViews>
    <workbookView xWindow="-120" yWindow="-120" windowWidth="20730" windowHeight="11040" activeTab="2" xr2:uid="{00000000-000D-0000-FFFF-FFFF00000000}"/>
  </bookViews>
  <sheets>
    <sheet name="LICITACIONES" sheetId="1" r:id="rId1"/>
    <sheet name="Hoja1" sheetId="3" r:id="rId2"/>
    <sheet name="BIG DEALS" sheetId="2" r:id="rId3"/>
  </sheets>
  <definedNames>
    <definedName name="_xlnm._FilterDatabase" localSheetId="2" hidden="1">'BIG DEALS'!$A$1:$O$1</definedName>
    <definedName name="_xlnm._FilterDatabase" localSheetId="0" hidden="1">LICITACIONES!$A$1:$N$1</definedName>
    <definedName name="Z_481A2CBD_9B07_47CD_9FC6_C0BEB5DC004E_.wvu.FilterData" localSheetId="0" hidden="1">LICITACIONES!$B$1:$N$1</definedName>
  </definedNames>
  <calcPr calcId="191028"/>
  <customWorkbookViews>
    <customWorkbookView name="Filtro 1" guid="{481A2CBD-9B07-47CD-9FC6-C0BEB5DC004E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3" l="1"/>
  <c r="E4" i="3"/>
  <c r="I3" i="3"/>
  <c r="H3" i="3"/>
  <c r="G3" i="3"/>
  <c r="F3" i="3"/>
  <c r="E3" i="3"/>
  <c r="C3" i="3"/>
  <c r="B3" i="3"/>
  <c r="I2" i="3"/>
  <c r="E2" i="3"/>
</calcChain>
</file>

<file path=xl/sharedStrings.xml><?xml version="1.0" encoding="utf-8"?>
<sst xmlns="http://schemas.openxmlformats.org/spreadsheetml/2006/main" count="574" uniqueCount="180">
  <si>
    <t>Fecha Creación</t>
  </si>
  <si>
    <t>CLIENTE</t>
  </si>
  <si>
    <t>LINEA</t>
  </si>
  <si>
    <t>Tiempo de Contrato</t>
  </si>
  <si>
    <t>Estimación mensual</t>
  </si>
  <si>
    <t>Estimación Contrato</t>
  </si>
  <si>
    <t>Comercial</t>
  </si>
  <si>
    <t>Status</t>
  </si>
  <si>
    <t>Tipificación</t>
  </si>
  <si>
    <t>Probabilidad de cierre</t>
  </si>
  <si>
    <t>Asignado a</t>
  </si>
  <si>
    <t>FECHA DE PRESENTACION</t>
  </si>
  <si>
    <t>NUMERO ETAPA</t>
  </si>
  <si>
    <t>GRUPO UMA VS SAS</t>
  </si>
  <si>
    <t>LH-UD</t>
  </si>
  <si>
    <t>Anderson Santos</t>
  </si>
  <si>
    <t>Presentada</t>
  </si>
  <si>
    <t>Ronda 2</t>
  </si>
  <si>
    <t>COLGATE CROSSDOCKING</t>
  </si>
  <si>
    <t>UD</t>
  </si>
  <si>
    <t>Perdida</t>
  </si>
  <si>
    <t>HALLIBURTON</t>
  </si>
  <si>
    <t>LH</t>
  </si>
  <si>
    <t>Jeimy Acelas</t>
  </si>
  <si>
    <t>SCANIA</t>
  </si>
  <si>
    <t>WH</t>
  </si>
  <si>
    <t>Jefferson Marquez</t>
  </si>
  <si>
    <t>CAFAM BARRANQUILLA</t>
  </si>
  <si>
    <t>Erika Gonzalez</t>
  </si>
  <si>
    <t>ENEL INHOUSE COTA</t>
  </si>
  <si>
    <t>DOLLAR CITY DEDICADOS</t>
  </si>
  <si>
    <t>Ganada</t>
  </si>
  <si>
    <t>Ronda 3</t>
  </si>
  <si>
    <t>P&amp;G POP</t>
  </si>
  <si>
    <t>VANTI</t>
  </si>
  <si>
    <t>ALIANZA TEAMS</t>
  </si>
  <si>
    <t>BELCORP</t>
  </si>
  <si>
    <t>LM</t>
  </si>
  <si>
    <t>LOREAL</t>
  </si>
  <si>
    <t>AKZONOBEL</t>
  </si>
  <si>
    <t>Milton Gonzalez</t>
  </si>
  <si>
    <t>Declinada</t>
  </si>
  <si>
    <t>CUEROS VELEZ</t>
  </si>
  <si>
    <t>ETERNA</t>
  </si>
  <si>
    <t>Yenifer Perez</t>
  </si>
  <si>
    <t>NOVARTIS</t>
  </si>
  <si>
    <t>JERONIMO MARTINS</t>
  </si>
  <si>
    <t>TIGO</t>
  </si>
  <si>
    <t>Cancelado</t>
  </si>
  <si>
    <t>GRUPO REDITOS</t>
  </si>
  <si>
    <t>FIBERHOME</t>
  </si>
  <si>
    <t>JOLIFOODS</t>
  </si>
  <si>
    <t>MONDELEZ POP</t>
  </si>
  <si>
    <t>LM-WH</t>
  </si>
  <si>
    <t>En construccion</t>
  </si>
  <si>
    <t>Fase Preliminar</t>
  </si>
  <si>
    <t>Jose</t>
  </si>
  <si>
    <t>ETERNIT</t>
  </si>
  <si>
    <t>LH-WH</t>
  </si>
  <si>
    <t>GALDERMA</t>
  </si>
  <si>
    <t>UD - LM</t>
  </si>
  <si>
    <t>D1 COSTA</t>
  </si>
  <si>
    <t>NESTLE 3PL COL</t>
  </si>
  <si>
    <t>UD - WH</t>
  </si>
  <si>
    <t>Juan D</t>
  </si>
  <si>
    <t>NESTLE SMALL PARCEL</t>
  </si>
  <si>
    <t>PROMIGAS</t>
  </si>
  <si>
    <t>DIAGEO</t>
  </si>
  <si>
    <t>PROYECTO MEDTRONIC</t>
  </si>
  <si>
    <t>Ronda 1</t>
  </si>
  <si>
    <t>COMPENSAR ALIMENTOS</t>
  </si>
  <si>
    <t>KELLOGS</t>
  </si>
  <si>
    <t>PEPSICO</t>
  </si>
  <si>
    <t>Walter Vasquez</t>
  </si>
  <si>
    <t>NESTLE PAQUETEO</t>
  </si>
  <si>
    <t>B DICKINSON</t>
  </si>
  <si>
    <t>SOFTYS COLOMBIA S.A</t>
  </si>
  <si>
    <t>CENCOSUD</t>
  </si>
  <si>
    <t>NESTLE OPL NHS</t>
  </si>
  <si>
    <t>SERVICIOS NUTRESA</t>
  </si>
  <si>
    <t>DAVIVIENDA ENTREGA LLAVES</t>
  </si>
  <si>
    <t>CENCOSUD HOME DELIVERY</t>
  </si>
  <si>
    <t>DAVIVIENDA MENSAJERIA</t>
  </si>
  <si>
    <t>LOREAL DEDICADOS PLANTA</t>
  </si>
  <si>
    <t>UNILEVER 3PL</t>
  </si>
  <si>
    <t>HACEB ALMACENAMIENTO</t>
  </si>
  <si>
    <t>PAPELES PRIMAVERA CARGA</t>
  </si>
  <si>
    <t>PAPELES PRIMAVERA 3PL</t>
  </si>
  <si>
    <t>ETB</t>
  </si>
  <si>
    <t>ELECTROLUX</t>
  </si>
  <si>
    <t>ARIS BODEGA PEREIRA</t>
  </si>
  <si>
    <t>GRUPO EXITO ECOMMERCE</t>
  </si>
  <si>
    <t>GRUPO EXITO ALIMENTOS</t>
  </si>
  <si>
    <t>AVIANCA TRANSPORTE</t>
  </si>
  <si>
    <t>INSTITUTO HUMBOLDT</t>
  </si>
  <si>
    <t>BBVA</t>
  </si>
  <si>
    <t>AMAREY MEDICAL DEVICES</t>
  </si>
  <si>
    <t>XIAOMI</t>
  </si>
  <si>
    <t>CERROMATOSO</t>
  </si>
  <si>
    <t>PEND</t>
  </si>
  <si>
    <t>D1 ECOMMERCE</t>
  </si>
  <si>
    <t>VICTORIA</t>
  </si>
  <si>
    <t>COPIDROGAS PROYECTO DS</t>
  </si>
  <si>
    <t>WH LM</t>
  </si>
  <si>
    <t>GIVAUDAN</t>
  </si>
  <si>
    <t>Carlos Pacasuca</t>
  </si>
  <si>
    <t>AMAREY MUESTRAS MEDICAS</t>
  </si>
  <si>
    <t>BANCO DE LA REPUBLICA BIBLIOTECAS</t>
  </si>
  <si>
    <t>Operacion LM</t>
  </si>
  <si>
    <t>VARDI</t>
  </si>
  <si>
    <t>RICOH</t>
  </si>
  <si>
    <t>OBOTICARIO</t>
  </si>
  <si>
    <t>FEMSA MEDELLIN</t>
  </si>
  <si>
    <t>BANCO AGRARIO</t>
  </si>
  <si>
    <t xml:space="preserve">Descripción General </t>
  </si>
  <si>
    <t xml:space="preserve">Asignado a </t>
  </si>
  <si>
    <t>CARGILL MEDELLIN</t>
  </si>
  <si>
    <t>10 UNIDADES REFRIGERADAS FIJAS</t>
  </si>
  <si>
    <t>CARGILL BMANGA</t>
  </si>
  <si>
    <t>23 UNIDADES REFRIGERADAS FIJAS</t>
  </si>
  <si>
    <t>CARGILL FLOTA PROPIA EN COMODATO</t>
  </si>
  <si>
    <t>5 UNIDADES EN COMODATO</t>
  </si>
  <si>
    <t>POLLOS FRIKO</t>
  </si>
  <si>
    <t>15 UNIDADES REFRIGERADAS EN TOCANCIPA</t>
  </si>
  <si>
    <t>Retomar Contacto</t>
  </si>
  <si>
    <t>CHEMYUNION</t>
  </si>
  <si>
    <t>Operación WH &amp; UD</t>
  </si>
  <si>
    <t>STERIS COLOMBIA</t>
  </si>
  <si>
    <t>Misma operación inicial de CDMX</t>
  </si>
  <si>
    <t>ORGANIZACIÓN CARDENAS</t>
  </si>
  <si>
    <t>10 VEHICULOS NHR BOGOTA</t>
  </si>
  <si>
    <t>TECNOQUIMICAS</t>
  </si>
  <si>
    <t>15 VEHICULOS MEDELLIN</t>
  </si>
  <si>
    <t>RECAMIER</t>
  </si>
  <si>
    <t>COTIZAR DISTRIBUCION Y CROSS</t>
  </si>
  <si>
    <t>AVICOLA MILUC</t>
  </si>
  <si>
    <t>8 UNIDADES REFRIGERADAS BOGOTA</t>
  </si>
  <si>
    <t>UCCLOG</t>
  </si>
  <si>
    <t>300 TEUS / MES ELECTRO</t>
  </si>
  <si>
    <t>Distribucion electro canal retail</t>
  </si>
  <si>
    <t>D1 Distribución</t>
  </si>
  <si>
    <t>30 unidades mas en otros CDS</t>
  </si>
  <si>
    <t>EXPO/IMPI DECORCERAMICA</t>
  </si>
  <si>
    <t>200 Contenedores BUN/YUMBO</t>
  </si>
  <si>
    <t>RUEDA VERDE</t>
  </si>
  <si>
    <t>Flota dedicada enoperacion urbana / nacional</t>
  </si>
  <si>
    <t>Distribucion Modelo de llantas nacional</t>
  </si>
  <si>
    <t>ARGOS</t>
  </si>
  <si>
    <t>Posicionamieto de flota fija coredores desde Rioclaro</t>
  </si>
  <si>
    <t>FASE 0</t>
  </si>
  <si>
    <t>NO EN WIN RATE</t>
  </si>
  <si>
    <t>GANDA</t>
  </si>
  <si>
    <t>PERDIDAS</t>
  </si>
  <si>
    <t>DECLINADA</t>
  </si>
  <si>
    <t>En espera</t>
  </si>
  <si>
    <t>Sin respuesta</t>
  </si>
  <si>
    <t>Operacion</t>
  </si>
  <si>
    <t>Fecha Inicio</t>
  </si>
  <si>
    <t>UNYSIS Bancolombia</t>
  </si>
  <si>
    <t>ARIS GESTION CDS</t>
  </si>
  <si>
    <t>UNYSIS oxxo + cruz cerde</t>
  </si>
  <si>
    <t>PENDIENTE</t>
  </si>
  <si>
    <t>ARIS MINING CARGA</t>
  </si>
  <si>
    <t>WHIRLPOOL</t>
  </si>
  <si>
    <t>TIGO SIM CARD</t>
  </si>
  <si>
    <t>EXITO Transporte Casa Cliente</t>
  </si>
  <si>
    <t>EXITO Servicios de destelle de mercancía del flujo Crossdocking Predistrib ...</t>
  </si>
  <si>
    <t>FLEISCHMANN</t>
  </si>
  <si>
    <t>ALIMENTOS DEL ALBA</t>
  </si>
  <si>
    <t>Almacenamiento de 900 posiciones.</t>
  </si>
  <si>
    <t>CARGILL COSTA NORTE</t>
  </si>
  <si>
    <t>Distribucion desde los Cedis,Malambo, Bisconia,Monteria, Arjona Aprox de 70 carros</t>
  </si>
  <si>
    <t>LH - LM</t>
  </si>
  <si>
    <t>D1 Gestión de CDs</t>
  </si>
  <si>
    <t>Coexito PDistribucion Llantas</t>
  </si>
  <si>
    <t>INCHCAPE</t>
  </si>
  <si>
    <t>D1 Transporte Nacional</t>
  </si>
  <si>
    <t>Terpel</t>
  </si>
  <si>
    <t>Cargill Dosquebradas</t>
  </si>
  <si>
    <t>Cancelada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</si>
</sst>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\ #,##0;[Red]\-&quot;$&quot;\ #,##0"/>
    <numFmt numFmtId="164" formatCode="d/m/yyyy"/>
  </numFmts>
  <fonts count="2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rgb="FFBFE0F6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Aptos Narrow"/>
      <family val="2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rgb="FF11734B"/>
      <name val="Arial"/>
      <family val="2"/>
    </font>
    <font>
      <sz val="11"/>
      <color rgb="FFFFCFC9"/>
      <name val="Arial"/>
      <family val="2"/>
    </font>
    <font>
      <sz val="11"/>
      <color rgb="FFB10202"/>
      <name val="Arial"/>
      <family val="2"/>
    </font>
    <font>
      <sz val="11"/>
      <color rgb="FFD4EDBC"/>
      <name val="Arial"/>
      <family val="2"/>
    </font>
    <font>
      <sz val="11"/>
      <color rgb="FF5A3286"/>
      <name val="Arial"/>
      <family val="2"/>
    </font>
    <font>
      <sz val="11"/>
      <color rgb="FF753800"/>
      <name val="Arial"/>
      <family val="2"/>
    </font>
    <font>
      <sz val="11"/>
      <color rgb="FF0A53A8"/>
      <name val="Arial"/>
      <family val="2"/>
    </font>
    <font>
      <sz val="11"/>
      <color rgb="FF473821"/>
      <name val="Arial"/>
      <family val="2"/>
    </font>
    <font>
      <sz val="12"/>
      <color theme="1"/>
      <name val="Arial"/>
      <family val="2"/>
    </font>
    <font>
      <sz val="11"/>
      <color rgb="FF11734B"/>
      <name val="Calibri"/>
      <family val="2"/>
      <scheme val="minor"/>
    </font>
    <font>
      <sz val="11"/>
      <color rgb="FF753800"/>
      <name val="Calibri"/>
      <family val="2"/>
      <scheme val="minor"/>
    </font>
    <font>
      <sz val="11"/>
      <color rgb="FF5A3286"/>
      <name val="Calibri"/>
      <family val="2"/>
      <scheme val="minor"/>
    </font>
    <font>
      <sz val="11"/>
      <color rgb="FFFFCFC9"/>
      <name val="Calibri"/>
      <family val="2"/>
      <scheme val="minor"/>
    </font>
    <font>
      <sz val="11"/>
      <color rgb="FFD4EDBC"/>
      <name val="Calibri"/>
      <family val="2"/>
      <scheme val="minor"/>
    </font>
    <font>
      <sz val="11"/>
      <color rgb="FF0A53A8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B1020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6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5" fillId="0" borderId="1" xfId="0" applyFont="1" applyBorder="1" applyAlignment="1">
      <alignment horizont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0" fontId="0" fillId="0" borderId="0" xfId="1" applyNumberFormat="1" applyFont="1"/>
    <xf numFmtId="0" fontId="9" fillId="2" borderId="1" xfId="0" applyFont="1" applyFill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6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 wrapText="1"/>
    </xf>
    <xf numFmtId="6" fontId="3" fillId="3" borderId="4" xfId="0" applyNumberFormat="1" applyFont="1" applyFill="1" applyBorder="1" applyAlignment="1">
      <alignment horizontal="center" vertical="center" wrapText="1"/>
    </xf>
    <xf numFmtId="0" fontId="19" fillId="0" borderId="4" xfId="0" applyFont="1" applyBorder="1" applyAlignment="1">
      <alignment horizontal="center" wrapText="1"/>
    </xf>
    <xf numFmtId="9" fontId="20" fillId="0" borderId="4" xfId="0" applyNumberFormat="1" applyFont="1" applyBorder="1" applyAlignment="1">
      <alignment horizontal="right" wrapText="1"/>
    </xf>
    <xf numFmtId="0" fontId="20" fillId="0" borderId="4" xfId="0" applyFont="1" applyBorder="1" applyAlignment="1">
      <alignment horizontal="center" wrapText="1"/>
    </xf>
    <xf numFmtId="0" fontId="21" fillId="0" borderId="4" xfId="0" applyFont="1" applyBorder="1" applyAlignment="1">
      <alignment horizontal="center" wrapText="1"/>
    </xf>
    <xf numFmtId="9" fontId="19" fillId="0" borderId="4" xfId="0" applyNumberFormat="1" applyFont="1" applyBorder="1" applyAlignment="1">
      <alignment horizontal="right" wrapText="1"/>
    </xf>
    <xf numFmtId="9" fontId="22" fillId="0" borderId="4" xfId="0" applyNumberFormat="1" applyFont="1" applyBorder="1" applyAlignment="1">
      <alignment horizontal="right" wrapText="1"/>
    </xf>
    <xf numFmtId="0" fontId="22" fillId="0" borderId="4" xfId="0" applyFont="1" applyBorder="1" applyAlignment="1">
      <alignment horizontal="center" wrapText="1"/>
    </xf>
    <xf numFmtId="0" fontId="23" fillId="0" borderId="4" xfId="0" applyFont="1" applyBorder="1" applyAlignment="1">
      <alignment horizontal="center" wrapText="1"/>
    </xf>
    <xf numFmtId="9" fontId="23" fillId="0" borderId="4" xfId="0" applyNumberFormat="1" applyFont="1" applyBorder="1" applyAlignment="1">
      <alignment horizontal="right" wrapText="1"/>
    </xf>
    <xf numFmtId="0" fontId="24" fillId="0" borderId="4" xfId="0" applyFont="1" applyBorder="1" applyAlignment="1">
      <alignment horizontal="center" wrapText="1"/>
    </xf>
    <xf numFmtId="0" fontId="1" fillId="3" borderId="4" xfId="0" applyFont="1" applyFill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3" xfId="0" applyFont="1" applyBorder="1" applyAlignment="1">
      <alignment horizontal="right"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9" fontId="11" fillId="3" borderId="4" xfId="0" applyNumberFormat="1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9" fontId="13" fillId="3" borderId="4" xfId="0" applyNumberFormat="1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9" fontId="15" fillId="3" borderId="4" xfId="0" applyNumberFormat="1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9" fontId="11" fillId="0" borderId="4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9" fontId="13" fillId="0" borderId="4" xfId="0" applyNumberFormat="1" applyFont="1" applyBorder="1" applyAlignment="1">
      <alignment horizontal="center" vertical="center" wrapText="1"/>
    </xf>
    <xf numFmtId="9" fontId="15" fillId="0" borderId="4" xfId="0" applyNumberFormat="1" applyFont="1" applyBorder="1" applyAlignment="1">
      <alignment horizontal="center" vertical="center" wrapText="1"/>
    </xf>
    <xf numFmtId="9" fontId="10" fillId="0" borderId="4" xfId="0" applyNumberFormat="1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4" fontId="1" fillId="3" borderId="3" xfId="0" applyNumberFormat="1" applyFont="1" applyFill="1" applyBorder="1" applyAlignment="1">
      <alignment horizontal="right" wrapText="1"/>
    </xf>
    <xf numFmtId="6" fontId="1" fillId="0" borderId="4" xfId="0" applyNumberFormat="1" applyFont="1" applyBorder="1" applyAlignment="1">
      <alignment horizontal="right" wrapText="1"/>
    </xf>
    <xf numFmtId="14" fontId="1" fillId="3" borderId="4" xfId="0" applyNumberFormat="1" applyFont="1" applyFill="1" applyBorder="1" applyAlignment="1">
      <alignment horizontal="right" wrapText="1"/>
    </xf>
    <xf numFmtId="0" fontId="26" fillId="0" borderId="4" xfId="0" applyFont="1" applyBorder="1" applyAlignment="1">
      <alignment horizontal="center" wrapText="1"/>
    </xf>
    <xf numFmtId="0" fontId="1" fillId="0" borderId="4" xfId="0" applyFont="1" applyBorder="1" applyAlignment="1">
      <alignment horizontal="right" wrapText="1"/>
    </xf>
    <xf numFmtId="0" fontId="1" fillId="3" borderId="3" xfId="0" applyFont="1" applyFill="1" applyBorder="1" applyAlignment="1">
      <alignment wrapText="1"/>
    </xf>
    <xf numFmtId="0" fontId="1" fillId="0" borderId="5" xfId="0" applyFont="1" applyBorder="1" applyAlignment="1">
      <alignment horizontal="right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23"/>
  <sheetViews>
    <sheetView zoomScale="80" zoomScaleNormal="80" workbookViewId="0">
      <pane ySplit="1" topLeftCell="A65" activePane="bottomLeft" state="frozen"/>
      <selection pane="bottomLeft" activeCell="A84" sqref="A84"/>
    </sheetView>
  </sheetViews>
  <sheetFormatPr baseColWidth="10" defaultColWidth="14.42578125" defaultRowHeight="15" customHeight="1" x14ac:dyDescent="0.25"/>
  <cols>
    <col min="1" max="1" width="13" style="8" customWidth="1"/>
    <col min="2" max="2" width="29" style="8" customWidth="1"/>
    <col min="3" max="3" width="11" style="8" customWidth="1"/>
    <col min="4" max="4" width="8.28515625" style="8" customWidth="1"/>
    <col min="5" max="5" width="14.7109375" style="8" customWidth="1"/>
    <col min="6" max="6" width="17.140625" style="8" customWidth="1"/>
    <col min="7" max="7" width="16.7109375" style="8" customWidth="1"/>
    <col min="8" max="8" width="21.85546875" style="8" customWidth="1"/>
    <col min="9" max="9" width="17" style="8" customWidth="1"/>
    <col min="10" max="10" width="16.85546875" style="8" customWidth="1"/>
    <col min="11" max="11" width="17.5703125" style="8" customWidth="1"/>
    <col min="12" max="12" width="11.140625" style="8" customWidth="1"/>
    <col min="13" max="13" width="14.42578125" style="8"/>
    <col min="14" max="29" width="10.7109375" style="8" customWidth="1"/>
    <col min="30" max="16384" width="14.42578125" style="8"/>
  </cols>
  <sheetData>
    <row r="1" spans="1:29" ht="58.5" customHeight="1" thickBot="1" x14ac:dyDescent="0.3">
      <c r="A1" s="1" t="s">
        <v>0</v>
      </c>
      <c r="B1" s="7" t="s">
        <v>1</v>
      </c>
      <c r="C1" s="7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3" t="s">
        <v>11</v>
      </c>
      <c r="L1" s="1" t="s">
        <v>10</v>
      </c>
      <c r="M1" s="10" t="s">
        <v>157</v>
      </c>
      <c r="N1" s="4" t="s">
        <v>12</v>
      </c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</row>
    <row r="2" spans="1:29" ht="14.25" customHeight="1" thickBot="1" x14ac:dyDescent="0.3">
      <c r="A2" s="11">
        <v>45894</v>
      </c>
      <c r="B2" s="33" t="s">
        <v>13</v>
      </c>
      <c r="C2" s="34" t="s">
        <v>14</v>
      </c>
      <c r="D2" s="13">
        <v>12</v>
      </c>
      <c r="E2" s="12">
        <v>100000000</v>
      </c>
      <c r="F2" s="12">
        <v>1200000000</v>
      </c>
      <c r="G2" s="13" t="s">
        <v>15</v>
      </c>
      <c r="H2" s="35" t="s">
        <v>155</v>
      </c>
      <c r="I2" s="33" t="s">
        <v>17</v>
      </c>
      <c r="J2" s="36">
        <v>0.25</v>
      </c>
      <c r="K2" s="14">
        <v>45847</v>
      </c>
      <c r="L2" s="37"/>
      <c r="M2" s="37"/>
      <c r="N2" s="38"/>
    </row>
    <row r="3" spans="1:29" ht="14.25" customHeight="1" thickBot="1" x14ac:dyDescent="0.3">
      <c r="A3" s="11">
        <v>45839</v>
      </c>
      <c r="B3" s="13" t="s">
        <v>18</v>
      </c>
      <c r="C3" s="34" t="s">
        <v>19</v>
      </c>
      <c r="D3" s="30"/>
      <c r="E3" s="12">
        <v>200000000</v>
      </c>
      <c r="F3" s="12">
        <v>0</v>
      </c>
      <c r="G3" s="13" t="s">
        <v>15</v>
      </c>
      <c r="H3" s="39" t="s">
        <v>20</v>
      </c>
      <c r="I3" s="37"/>
      <c r="J3" s="36">
        <v>0</v>
      </c>
      <c r="K3" s="14">
        <v>45841</v>
      </c>
      <c r="L3" s="40"/>
      <c r="M3" s="40"/>
      <c r="N3" s="41">
        <v>4</v>
      </c>
    </row>
    <row r="4" spans="1:29" ht="14.25" customHeight="1" thickBot="1" x14ac:dyDescent="0.3">
      <c r="A4" s="11">
        <v>45839</v>
      </c>
      <c r="B4" s="13" t="s">
        <v>21</v>
      </c>
      <c r="C4" s="34" t="s">
        <v>22</v>
      </c>
      <c r="D4" s="30"/>
      <c r="E4" s="12">
        <v>0</v>
      </c>
      <c r="F4" s="12">
        <v>0</v>
      </c>
      <c r="G4" s="13" t="s">
        <v>23</v>
      </c>
      <c r="H4" s="39" t="s">
        <v>20</v>
      </c>
      <c r="I4" s="37"/>
      <c r="J4" s="36">
        <v>0</v>
      </c>
      <c r="K4" s="14">
        <v>45905</v>
      </c>
      <c r="L4" s="40"/>
      <c r="M4" s="40"/>
      <c r="N4" s="41">
        <v>4</v>
      </c>
    </row>
    <row r="5" spans="1:29" ht="14.25" customHeight="1" thickBot="1" x14ac:dyDescent="0.3">
      <c r="A5" s="11">
        <v>45839</v>
      </c>
      <c r="B5" s="13" t="s">
        <v>24</v>
      </c>
      <c r="C5" s="34" t="s">
        <v>25</v>
      </c>
      <c r="D5" s="30"/>
      <c r="E5" s="12">
        <v>0</v>
      </c>
      <c r="F5" s="12">
        <v>0</v>
      </c>
      <c r="G5" s="13" t="s">
        <v>26</v>
      </c>
      <c r="H5" s="39" t="s">
        <v>20</v>
      </c>
      <c r="I5" s="37"/>
      <c r="J5" s="36">
        <v>0</v>
      </c>
      <c r="K5" s="14">
        <v>45889</v>
      </c>
      <c r="L5" s="37"/>
      <c r="M5" s="37"/>
      <c r="N5" s="41">
        <v>4</v>
      </c>
    </row>
    <row r="6" spans="1:29" ht="14.25" customHeight="1" thickBot="1" x14ac:dyDescent="0.3">
      <c r="A6" s="11">
        <v>45879</v>
      </c>
      <c r="B6" s="33" t="s">
        <v>27</v>
      </c>
      <c r="C6" s="34" t="s">
        <v>25</v>
      </c>
      <c r="D6" s="13">
        <v>12</v>
      </c>
      <c r="E6" s="12">
        <v>30000000</v>
      </c>
      <c r="F6" s="12">
        <v>360000000</v>
      </c>
      <c r="G6" s="13" t="s">
        <v>28</v>
      </c>
      <c r="H6" s="42" t="s">
        <v>48</v>
      </c>
      <c r="I6" s="33" t="s">
        <v>17</v>
      </c>
      <c r="J6" s="36">
        <v>0.25</v>
      </c>
      <c r="K6" s="14">
        <v>45884</v>
      </c>
      <c r="L6" s="37"/>
      <c r="M6" s="37"/>
      <c r="N6" s="41">
        <v>0</v>
      </c>
    </row>
    <row r="7" spans="1:29" ht="14.25" customHeight="1" thickBot="1" x14ac:dyDescent="0.3">
      <c r="A7" s="11">
        <v>45848</v>
      </c>
      <c r="B7" s="13" t="s">
        <v>29</v>
      </c>
      <c r="C7" s="34" t="s">
        <v>25</v>
      </c>
      <c r="D7" s="30"/>
      <c r="E7" s="12">
        <v>0</v>
      </c>
      <c r="F7" s="12">
        <v>0</v>
      </c>
      <c r="G7" s="13" t="s">
        <v>26</v>
      </c>
      <c r="H7" s="42" t="s">
        <v>48</v>
      </c>
      <c r="I7" s="37"/>
      <c r="J7" s="36">
        <v>0</v>
      </c>
      <c r="K7" s="14">
        <v>45944</v>
      </c>
      <c r="L7" s="37"/>
      <c r="M7" s="37"/>
      <c r="N7" s="41">
        <v>0</v>
      </c>
    </row>
    <row r="8" spans="1:29" ht="14.25" customHeight="1" thickBot="1" x14ac:dyDescent="0.3">
      <c r="A8" s="11">
        <v>45853</v>
      </c>
      <c r="B8" s="13" t="s">
        <v>30</v>
      </c>
      <c r="C8" s="34" t="s">
        <v>22</v>
      </c>
      <c r="D8" s="13">
        <v>12</v>
      </c>
      <c r="E8" s="12">
        <v>550000000</v>
      </c>
      <c r="F8" s="12">
        <v>6600000000</v>
      </c>
      <c r="G8" s="13" t="s">
        <v>28</v>
      </c>
      <c r="H8" s="43" t="s">
        <v>31</v>
      </c>
      <c r="I8" s="33" t="s">
        <v>32</v>
      </c>
      <c r="J8" s="44">
        <v>1</v>
      </c>
      <c r="K8" s="14">
        <v>45853</v>
      </c>
      <c r="L8" s="37"/>
      <c r="M8" s="14">
        <v>46032</v>
      </c>
      <c r="N8" s="41">
        <v>3</v>
      </c>
    </row>
    <row r="9" spans="1:29" ht="14.25" customHeight="1" thickBot="1" x14ac:dyDescent="0.3">
      <c r="A9" s="11">
        <v>45853</v>
      </c>
      <c r="B9" s="13" t="s">
        <v>33</v>
      </c>
      <c r="C9" s="34" t="s">
        <v>25</v>
      </c>
      <c r="D9" s="30"/>
      <c r="E9" s="12">
        <v>145000000</v>
      </c>
      <c r="F9" s="12">
        <v>0</v>
      </c>
      <c r="G9" s="13" t="s">
        <v>26</v>
      </c>
      <c r="H9" s="39" t="s">
        <v>20</v>
      </c>
      <c r="I9" s="37"/>
      <c r="J9" s="36">
        <v>0</v>
      </c>
      <c r="K9" s="14">
        <v>45881</v>
      </c>
      <c r="L9" s="40"/>
      <c r="M9" s="40"/>
      <c r="N9" s="41">
        <v>4</v>
      </c>
    </row>
    <row r="10" spans="1:29" ht="14.25" customHeight="1" thickBot="1" x14ac:dyDescent="0.3">
      <c r="A10" s="11">
        <v>45970</v>
      </c>
      <c r="B10" s="13" t="s">
        <v>34</v>
      </c>
      <c r="C10" s="34" t="s">
        <v>25</v>
      </c>
      <c r="D10" s="13">
        <v>36</v>
      </c>
      <c r="E10" s="12">
        <v>72000000</v>
      </c>
      <c r="F10" s="12">
        <v>2592000000</v>
      </c>
      <c r="G10" s="13" t="s">
        <v>26</v>
      </c>
      <c r="H10" s="43" t="s">
        <v>31</v>
      </c>
      <c r="I10" s="37"/>
      <c r="J10" s="44">
        <v>1</v>
      </c>
      <c r="K10" s="14">
        <v>45854</v>
      </c>
      <c r="L10" s="37"/>
      <c r="M10" s="14">
        <v>45901</v>
      </c>
      <c r="N10" s="41">
        <v>3</v>
      </c>
    </row>
    <row r="11" spans="1:29" ht="14.25" customHeight="1" thickBot="1" x14ac:dyDescent="0.3">
      <c r="A11" s="11">
        <v>45730</v>
      </c>
      <c r="B11" s="13" t="s">
        <v>35</v>
      </c>
      <c r="C11" s="34" t="s">
        <v>25</v>
      </c>
      <c r="D11" s="13">
        <v>12</v>
      </c>
      <c r="E11" s="12">
        <v>14000000</v>
      </c>
      <c r="F11" s="12">
        <v>168000000</v>
      </c>
      <c r="G11" s="13" t="s">
        <v>26</v>
      </c>
      <c r="H11" s="43" t="s">
        <v>31</v>
      </c>
      <c r="I11" s="37"/>
      <c r="J11" s="44">
        <v>1</v>
      </c>
      <c r="K11" s="14">
        <v>45860</v>
      </c>
      <c r="L11" s="37"/>
      <c r="M11" s="14">
        <v>45962</v>
      </c>
      <c r="N11" s="41">
        <v>3</v>
      </c>
    </row>
    <row r="12" spans="1:29" ht="14.25" customHeight="1" thickBot="1" x14ac:dyDescent="0.3">
      <c r="A12" s="11">
        <v>45816</v>
      </c>
      <c r="B12" s="13" t="s">
        <v>36</v>
      </c>
      <c r="C12" s="34" t="s">
        <v>37</v>
      </c>
      <c r="D12" s="30"/>
      <c r="E12" s="12">
        <v>80000000</v>
      </c>
      <c r="F12" s="12">
        <v>0</v>
      </c>
      <c r="G12" s="13" t="s">
        <v>28</v>
      </c>
      <c r="H12" s="39" t="s">
        <v>20</v>
      </c>
      <c r="I12" s="37"/>
      <c r="J12" s="36">
        <v>0</v>
      </c>
      <c r="K12" s="14">
        <v>45876</v>
      </c>
      <c r="L12" s="37"/>
      <c r="M12" s="37"/>
      <c r="N12" s="41">
        <v>4</v>
      </c>
    </row>
    <row r="13" spans="1:29" ht="14.25" customHeight="1" thickBot="1" x14ac:dyDescent="0.3">
      <c r="A13" s="11">
        <v>45910</v>
      </c>
      <c r="B13" s="13" t="s">
        <v>38</v>
      </c>
      <c r="C13" s="34" t="s">
        <v>19</v>
      </c>
      <c r="D13" s="13">
        <v>12</v>
      </c>
      <c r="E13" s="12">
        <v>120000000</v>
      </c>
      <c r="F13" s="12">
        <v>1440000000</v>
      </c>
      <c r="G13" s="13" t="s">
        <v>28</v>
      </c>
      <c r="H13" s="43" t="s">
        <v>31</v>
      </c>
      <c r="I13" s="33" t="s">
        <v>32</v>
      </c>
      <c r="J13" s="44">
        <v>1</v>
      </c>
      <c r="K13" s="14">
        <v>45930</v>
      </c>
      <c r="L13" s="37"/>
      <c r="M13" s="14">
        <v>46024</v>
      </c>
      <c r="N13" s="41">
        <v>3</v>
      </c>
    </row>
    <row r="14" spans="1:29" ht="14.25" customHeight="1" thickBot="1" x14ac:dyDescent="0.3">
      <c r="A14" s="11">
        <v>45950</v>
      </c>
      <c r="B14" s="13" t="s">
        <v>39</v>
      </c>
      <c r="C14" s="34" t="s">
        <v>22</v>
      </c>
      <c r="D14" s="30"/>
      <c r="E14" s="12">
        <v>100000000</v>
      </c>
      <c r="F14" s="12">
        <v>0</v>
      </c>
      <c r="G14" s="13" t="s">
        <v>40</v>
      </c>
      <c r="H14" s="42" t="s">
        <v>41</v>
      </c>
      <c r="I14" s="37"/>
      <c r="J14" s="36">
        <v>0</v>
      </c>
      <c r="K14" s="14">
        <v>45894</v>
      </c>
      <c r="L14" s="37"/>
      <c r="M14" s="37"/>
      <c r="N14" s="41">
        <v>6</v>
      </c>
    </row>
    <row r="15" spans="1:29" ht="14.25" customHeight="1" thickBot="1" x14ac:dyDescent="0.3">
      <c r="A15" s="11">
        <v>45912</v>
      </c>
      <c r="B15" s="13" t="s">
        <v>42</v>
      </c>
      <c r="C15" s="34" t="s">
        <v>37</v>
      </c>
      <c r="D15" s="13">
        <v>12</v>
      </c>
      <c r="E15" s="12">
        <v>30000000</v>
      </c>
      <c r="F15" s="12">
        <v>360000000</v>
      </c>
      <c r="G15" s="13" t="s">
        <v>40</v>
      </c>
      <c r="H15" s="43" t="s">
        <v>31</v>
      </c>
      <c r="I15" s="33" t="s">
        <v>17</v>
      </c>
      <c r="J15" s="44">
        <v>1</v>
      </c>
      <c r="K15" s="14">
        <v>45889</v>
      </c>
      <c r="L15" s="37"/>
      <c r="M15" s="14">
        <v>45931</v>
      </c>
      <c r="N15" s="41">
        <v>3</v>
      </c>
    </row>
    <row r="16" spans="1:29" ht="14.25" customHeight="1" thickBot="1" x14ac:dyDescent="0.3">
      <c r="A16" s="11">
        <v>45757</v>
      </c>
      <c r="B16" s="13" t="s">
        <v>43</v>
      </c>
      <c r="C16" s="34" t="s">
        <v>14</v>
      </c>
      <c r="D16" s="30"/>
      <c r="E16" s="12">
        <v>100000000</v>
      </c>
      <c r="F16" s="12">
        <v>0</v>
      </c>
      <c r="G16" s="13" t="s">
        <v>44</v>
      </c>
      <c r="H16" s="39" t="s">
        <v>20</v>
      </c>
      <c r="I16" s="37"/>
      <c r="J16" s="36">
        <v>0</v>
      </c>
      <c r="K16" s="14">
        <v>45850</v>
      </c>
      <c r="L16" s="37"/>
      <c r="M16" s="37"/>
      <c r="N16" s="41">
        <v>4</v>
      </c>
    </row>
    <row r="17" spans="1:14" ht="14.25" customHeight="1" thickBot="1" x14ac:dyDescent="0.3">
      <c r="A17" s="11">
        <v>45762</v>
      </c>
      <c r="B17" s="13" t="s">
        <v>45</v>
      </c>
      <c r="C17" s="34" t="s">
        <v>22</v>
      </c>
      <c r="D17" s="30"/>
      <c r="E17" s="12">
        <v>50000000</v>
      </c>
      <c r="F17" s="12">
        <v>0</v>
      </c>
      <c r="G17" s="13" t="s">
        <v>44</v>
      </c>
      <c r="H17" s="39" t="s">
        <v>20</v>
      </c>
      <c r="I17" s="37"/>
      <c r="J17" s="36">
        <v>0</v>
      </c>
      <c r="K17" s="14">
        <v>45819</v>
      </c>
      <c r="L17" s="37"/>
      <c r="M17" s="37"/>
      <c r="N17" s="41">
        <v>4</v>
      </c>
    </row>
    <row r="18" spans="1:14" ht="14.25" customHeight="1" thickBot="1" x14ac:dyDescent="0.3">
      <c r="A18" s="11">
        <v>45727</v>
      </c>
      <c r="B18" s="13" t="s">
        <v>46</v>
      </c>
      <c r="C18" s="34" t="s">
        <v>19</v>
      </c>
      <c r="D18" s="30"/>
      <c r="E18" s="12">
        <v>1000000000</v>
      </c>
      <c r="F18" s="12">
        <v>0</v>
      </c>
      <c r="G18" s="13" t="s">
        <v>28</v>
      </c>
      <c r="H18" s="39" t="s">
        <v>20</v>
      </c>
      <c r="I18" s="37"/>
      <c r="J18" s="36">
        <v>0</v>
      </c>
      <c r="K18" s="14">
        <v>45960</v>
      </c>
      <c r="L18" s="37"/>
      <c r="M18" s="37"/>
      <c r="N18" s="41">
        <v>4</v>
      </c>
    </row>
    <row r="19" spans="1:14" ht="14.25" customHeight="1" thickBot="1" x14ac:dyDescent="0.3">
      <c r="A19" s="11">
        <v>45827</v>
      </c>
      <c r="B19" s="13" t="s">
        <v>47</v>
      </c>
      <c r="C19" s="34" t="s">
        <v>37</v>
      </c>
      <c r="D19" s="30"/>
      <c r="E19" s="12">
        <v>100000000</v>
      </c>
      <c r="F19" s="12">
        <v>0</v>
      </c>
      <c r="G19" s="13" t="s">
        <v>44</v>
      </c>
      <c r="H19" s="42" t="s">
        <v>41</v>
      </c>
      <c r="I19" s="37"/>
      <c r="J19" s="36">
        <v>0</v>
      </c>
      <c r="K19" s="14">
        <v>45894</v>
      </c>
      <c r="L19" s="37"/>
      <c r="M19" s="37"/>
      <c r="N19" s="41">
        <v>6</v>
      </c>
    </row>
    <row r="20" spans="1:14" ht="14.25" customHeight="1" thickBot="1" x14ac:dyDescent="0.3">
      <c r="A20" s="11">
        <v>45990</v>
      </c>
      <c r="B20" s="33" t="s">
        <v>49</v>
      </c>
      <c r="C20" s="34" t="s">
        <v>37</v>
      </c>
      <c r="D20" s="30"/>
      <c r="E20" s="12">
        <v>30000000</v>
      </c>
      <c r="F20" s="12">
        <v>0</v>
      </c>
      <c r="G20" s="13" t="s">
        <v>23</v>
      </c>
      <c r="H20" s="39" t="s">
        <v>20</v>
      </c>
      <c r="I20" s="37"/>
      <c r="J20" s="36">
        <v>0</v>
      </c>
      <c r="K20" s="14">
        <v>45903</v>
      </c>
      <c r="L20" s="37"/>
      <c r="M20" s="37"/>
      <c r="N20" s="41">
        <v>4</v>
      </c>
    </row>
    <row r="21" spans="1:14" ht="14.25" customHeight="1" thickBot="1" x14ac:dyDescent="0.3">
      <c r="A21" s="11">
        <v>45943</v>
      </c>
      <c r="B21" s="13" t="s">
        <v>50</v>
      </c>
      <c r="C21" s="34" t="s">
        <v>22</v>
      </c>
      <c r="D21" s="13">
        <v>12</v>
      </c>
      <c r="E21" s="12">
        <v>100000000</v>
      </c>
      <c r="F21" s="12">
        <v>1200000000</v>
      </c>
      <c r="G21" s="13" t="s">
        <v>40</v>
      </c>
      <c r="H21" s="43" t="s">
        <v>31</v>
      </c>
      <c r="I21" s="33" t="s">
        <v>17</v>
      </c>
      <c r="J21" s="44">
        <v>1</v>
      </c>
      <c r="K21" s="14">
        <v>45905</v>
      </c>
      <c r="L21" s="37"/>
      <c r="M21" s="14">
        <v>45901</v>
      </c>
      <c r="N21" s="41">
        <v>3</v>
      </c>
    </row>
    <row r="22" spans="1:14" ht="14.25" customHeight="1" thickBot="1" x14ac:dyDescent="0.3">
      <c r="A22" s="11">
        <v>45931</v>
      </c>
      <c r="B22" s="13" t="s">
        <v>51</v>
      </c>
      <c r="C22" s="34" t="s">
        <v>37</v>
      </c>
      <c r="D22" s="30"/>
      <c r="E22" s="12">
        <v>100000000</v>
      </c>
      <c r="F22" s="12">
        <v>0</v>
      </c>
      <c r="G22" s="13" t="s">
        <v>44</v>
      </c>
      <c r="H22" s="39" t="s">
        <v>20</v>
      </c>
      <c r="I22" s="37"/>
      <c r="J22" s="36">
        <v>0</v>
      </c>
      <c r="K22" s="14">
        <v>45961</v>
      </c>
      <c r="L22" s="37"/>
      <c r="M22" s="37"/>
      <c r="N22" s="41">
        <v>4</v>
      </c>
    </row>
    <row r="23" spans="1:14" ht="14.25" customHeight="1" thickBot="1" x14ac:dyDescent="0.3">
      <c r="A23" s="11">
        <v>45973</v>
      </c>
      <c r="B23" s="13" t="s">
        <v>52</v>
      </c>
      <c r="C23" s="34" t="s">
        <v>53</v>
      </c>
      <c r="D23" s="13">
        <v>12</v>
      </c>
      <c r="E23" s="12">
        <v>130000000</v>
      </c>
      <c r="F23" s="12">
        <v>1560000000</v>
      </c>
      <c r="G23" s="13" t="s">
        <v>15</v>
      </c>
      <c r="H23" s="45" t="s">
        <v>16</v>
      </c>
      <c r="I23" s="33" t="s">
        <v>55</v>
      </c>
      <c r="J23" s="36">
        <v>0.25</v>
      </c>
      <c r="K23" s="14">
        <v>46094</v>
      </c>
      <c r="L23" s="33" t="s">
        <v>56</v>
      </c>
      <c r="M23" s="37"/>
      <c r="N23" s="41">
        <v>1</v>
      </c>
    </row>
    <row r="24" spans="1:14" ht="14.25" customHeight="1" thickBot="1" x14ac:dyDescent="0.3">
      <c r="A24" s="11">
        <v>45916</v>
      </c>
      <c r="B24" s="33" t="s">
        <v>57</v>
      </c>
      <c r="C24" s="34" t="s">
        <v>58</v>
      </c>
      <c r="D24" s="30"/>
      <c r="E24" s="12">
        <v>200000000</v>
      </c>
      <c r="F24" s="12">
        <v>0</v>
      </c>
      <c r="G24" s="13" t="s">
        <v>15</v>
      </c>
      <c r="H24" s="39" t="s">
        <v>20</v>
      </c>
      <c r="I24" s="37"/>
      <c r="J24" s="36">
        <v>0</v>
      </c>
      <c r="K24" s="14">
        <v>46003</v>
      </c>
      <c r="L24" s="37"/>
      <c r="M24" s="37"/>
      <c r="N24" s="41">
        <v>4</v>
      </c>
    </row>
    <row r="25" spans="1:14" ht="14.25" customHeight="1" thickBot="1" x14ac:dyDescent="0.3">
      <c r="A25" s="11">
        <v>45883</v>
      </c>
      <c r="B25" s="13" t="s">
        <v>59</v>
      </c>
      <c r="C25" s="34" t="s">
        <v>60</v>
      </c>
      <c r="D25" s="30"/>
      <c r="E25" s="12">
        <v>50000000</v>
      </c>
      <c r="F25" s="12">
        <v>0</v>
      </c>
      <c r="G25" s="13" t="s">
        <v>28</v>
      </c>
      <c r="H25" s="39" t="s">
        <v>20</v>
      </c>
      <c r="I25" s="37"/>
      <c r="J25" s="36">
        <v>0</v>
      </c>
      <c r="K25" s="14">
        <v>45939</v>
      </c>
      <c r="L25" s="37"/>
      <c r="M25" s="37"/>
      <c r="N25" s="41">
        <v>4</v>
      </c>
    </row>
    <row r="26" spans="1:14" ht="14.25" customHeight="1" thickBot="1" x14ac:dyDescent="0.3">
      <c r="A26" s="11">
        <v>45949</v>
      </c>
      <c r="B26" s="13" t="s">
        <v>61</v>
      </c>
      <c r="C26" s="34" t="s">
        <v>19</v>
      </c>
      <c r="D26" s="13">
        <v>12</v>
      </c>
      <c r="E26" s="12">
        <v>250000000</v>
      </c>
      <c r="F26" s="12">
        <v>3000000000</v>
      </c>
      <c r="G26" s="13" t="s">
        <v>28</v>
      </c>
      <c r="H26" s="43" t="s">
        <v>31</v>
      </c>
      <c r="I26" s="33" t="s">
        <v>32</v>
      </c>
      <c r="J26" s="44">
        <v>1</v>
      </c>
      <c r="K26" s="14">
        <v>45913</v>
      </c>
      <c r="L26" s="37"/>
      <c r="M26" s="14">
        <v>45962</v>
      </c>
      <c r="N26" s="41">
        <v>3</v>
      </c>
    </row>
    <row r="27" spans="1:14" ht="14.25" customHeight="1" thickBot="1" x14ac:dyDescent="0.3">
      <c r="A27" s="11">
        <v>45984</v>
      </c>
      <c r="B27" s="33" t="s">
        <v>62</v>
      </c>
      <c r="C27" s="34" t="s">
        <v>63</v>
      </c>
      <c r="D27" s="13">
        <v>24</v>
      </c>
      <c r="E27" s="12">
        <v>2000000000</v>
      </c>
      <c r="F27" s="12">
        <v>48000000000</v>
      </c>
      <c r="G27" s="13" t="s">
        <v>28</v>
      </c>
      <c r="H27" s="46" t="s">
        <v>154</v>
      </c>
      <c r="I27" s="33" t="s">
        <v>17</v>
      </c>
      <c r="J27" s="47">
        <v>0.5</v>
      </c>
      <c r="K27" s="13" t="s">
        <v>161</v>
      </c>
      <c r="L27" s="33" t="s">
        <v>64</v>
      </c>
      <c r="M27" s="37"/>
      <c r="N27" s="41"/>
    </row>
    <row r="28" spans="1:14" ht="14.25" customHeight="1" thickBot="1" x14ac:dyDescent="0.3">
      <c r="A28" s="11">
        <v>45981</v>
      </c>
      <c r="B28" s="13" t="s">
        <v>65</v>
      </c>
      <c r="C28" s="34" t="s">
        <v>19</v>
      </c>
      <c r="D28" s="30"/>
      <c r="E28" s="12">
        <v>200000000</v>
      </c>
      <c r="F28" s="12">
        <v>0</v>
      </c>
      <c r="G28" s="13" t="s">
        <v>28</v>
      </c>
      <c r="H28" s="39" t="s">
        <v>20</v>
      </c>
      <c r="I28" s="37"/>
      <c r="J28" s="36">
        <v>0</v>
      </c>
      <c r="K28" s="14">
        <v>45971</v>
      </c>
      <c r="L28" s="37"/>
      <c r="M28" s="37"/>
      <c r="N28" s="41">
        <v>4</v>
      </c>
    </row>
    <row r="29" spans="1:14" ht="14.25" customHeight="1" thickBot="1" x14ac:dyDescent="0.3">
      <c r="A29" s="11">
        <v>45919</v>
      </c>
      <c r="B29" s="33" t="s">
        <v>162</v>
      </c>
      <c r="C29" s="34" t="s">
        <v>22</v>
      </c>
      <c r="D29" s="13">
        <v>24</v>
      </c>
      <c r="E29" s="12">
        <v>300000000</v>
      </c>
      <c r="F29" s="12">
        <v>7200000000</v>
      </c>
      <c r="G29" s="13" t="s">
        <v>28</v>
      </c>
      <c r="H29" s="45" t="s">
        <v>16</v>
      </c>
      <c r="I29" s="33" t="s">
        <v>32</v>
      </c>
      <c r="J29" s="47">
        <v>0.5</v>
      </c>
      <c r="K29" s="14">
        <v>46091</v>
      </c>
      <c r="L29" s="33" t="s">
        <v>64</v>
      </c>
      <c r="M29" s="37"/>
      <c r="N29" s="41">
        <v>1</v>
      </c>
    </row>
    <row r="30" spans="1:14" ht="14.25" customHeight="1" thickBot="1" x14ac:dyDescent="0.3">
      <c r="A30" s="11">
        <v>45933</v>
      </c>
      <c r="B30" s="33" t="s">
        <v>66</v>
      </c>
      <c r="C30" s="34" t="s">
        <v>37</v>
      </c>
      <c r="D30" s="30"/>
      <c r="E30" s="12">
        <v>100000000</v>
      </c>
      <c r="F30" s="12">
        <v>0</v>
      </c>
      <c r="G30" s="13" t="s">
        <v>44</v>
      </c>
      <c r="H30" s="39" t="s">
        <v>20</v>
      </c>
      <c r="I30" s="37"/>
      <c r="J30" s="36">
        <v>0</v>
      </c>
      <c r="K30" s="14">
        <v>45981</v>
      </c>
      <c r="L30" s="37"/>
      <c r="M30" s="37"/>
      <c r="N30" s="41">
        <v>4</v>
      </c>
    </row>
    <row r="31" spans="1:14" ht="14.25" customHeight="1" thickBot="1" x14ac:dyDescent="0.3">
      <c r="A31" s="11">
        <v>46005</v>
      </c>
      <c r="B31" s="33" t="s">
        <v>67</v>
      </c>
      <c r="C31" s="34" t="s">
        <v>22</v>
      </c>
      <c r="D31" s="13">
        <v>12</v>
      </c>
      <c r="E31" s="12">
        <v>250000000</v>
      </c>
      <c r="F31" s="12">
        <v>3000000000</v>
      </c>
      <c r="G31" s="13" t="s">
        <v>28</v>
      </c>
      <c r="H31" s="43" t="s">
        <v>31</v>
      </c>
      <c r="I31" s="37"/>
      <c r="J31" s="44">
        <v>1</v>
      </c>
      <c r="K31" s="14">
        <v>45968</v>
      </c>
      <c r="L31" s="37"/>
      <c r="M31" s="14">
        <v>46055</v>
      </c>
      <c r="N31" s="41">
        <v>3</v>
      </c>
    </row>
    <row r="32" spans="1:14" ht="14.25" customHeight="1" thickBot="1" x14ac:dyDescent="0.3">
      <c r="A32" s="11">
        <v>45988</v>
      </c>
      <c r="B32" s="33" t="s">
        <v>68</v>
      </c>
      <c r="C32" s="34" t="s">
        <v>25</v>
      </c>
      <c r="D32" s="13">
        <v>24</v>
      </c>
      <c r="E32" s="12">
        <v>320000000</v>
      </c>
      <c r="F32" s="12">
        <v>7680000000</v>
      </c>
      <c r="G32" s="13" t="s">
        <v>28</v>
      </c>
      <c r="H32" s="48" t="s">
        <v>54</v>
      </c>
      <c r="I32" s="33" t="s">
        <v>17</v>
      </c>
      <c r="J32" s="36">
        <v>0.25</v>
      </c>
      <c r="K32" s="14">
        <v>46108</v>
      </c>
      <c r="L32" s="33" t="s">
        <v>64</v>
      </c>
      <c r="M32" s="37"/>
      <c r="N32" s="41">
        <v>2</v>
      </c>
    </row>
    <row r="33" spans="1:14" ht="14.25" customHeight="1" thickBot="1" x14ac:dyDescent="0.3">
      <c r="A33" s="11">
        <v>45981</v>
      </c>
      <c r="B33" s="13" t="s">
        <v>70</v>
      </c>
      <c r="C33" s="34" t="s">
        <v>19</v>
      </c>
      <c r="D33" s="30"/>
      <c r="E33" s="12">
        <v>200000000</v>
      </c>
      <c r="F33" s="12">
        <v>0</v>
      </c>
      <c r="G33" s="13" t="s">
        <v>28</v>
      </c>
      <c r="H33" s="39" t="s">
        <v>20</v>
      </c>
      <c r="I33" s="37"/>
      <c r="J33" s="36">
        <v>0</v>
      </c>
      <c r="K33" s="14">
        <v>46001</v>
      </c>
      <c r="L33" s="37"/>
      <c r="M33" s="37"/>
      <c r="N33" s="41">
        <v>4</v>
      </c>
    </row>
    <row r="34" spans="1:14" ht="14.25" customHeight="1" thickBot="1" x14ac:dyDescent="0.3">
      <c r="A34" s="11">
        <v>46010</v>
      </c>
      <c r="B34" s="33" t="s">
        <v>71</v>
      </c>
      <c r="C34" s="34" t="s">
        <v>22</v>
      </c>
      <c r="D34" s="13">
        <v>12</v>
      </c>
      <c r="E34" s="12">
        <v>50000000</v>
      </c>
      <c r="F34" s="12">
        <v>600000000</v>
      </c>
      <c r="G34" s="13" t="s">
        <v>44</v>
      </c>
      <c r="H34" s="42" t="s">
        <v>41</v>
      </c>
      <c r="I34" s="33" t="s">
        <v>17</v>
      </c>
      <c r="J34" s="36">
        <v>0.25</v>
      </c>
      <c r="K34" s="14">
        <v>45972</v>
      </c>
      <c r="L34" s="37"/>
      <c r="M34" s="37"/>
      <c r="N34" s="41">
        <v>6</v>
      </c>
    </row>
    <row r="35" spans="1:14" ht="14.25" customHeight="1" thickBot="1" x14ac:dyDescent="0.3">
      <c r="A35" s="11">
        <v>45983</v>
      </c>
      <c r="B35" s="13" t="s">
        <v>72</v>
      </c>
      <c r="C35" s="34" t="s">
        <v>37</v>
      </c>
      <c r="D35" s="30"/>
      <c r="E35" s="12">
        <v>0</v>
      </c>
      <c r="F35" s="12">
        <v>0</v>
      </c>
      <c r="G35" s="13" t="s">
        <v>73</v>
      </c>
      <c r="H35" s="42" t="s">
        <v>41</v>
      </c>
      <c r="I35" s="30"/>
      <c r="J35" s="49">
        <v>0</v>
      </c>
      <c r="K35" s="30"/>
      <c r="L35" s="30"/>
      <c r="M35" s="30"/>
      <c r="N35" s="41">
        <v>6</v>
      </c>
    </row>
    <row r="36" spans="1:14" ht="14.25" customHeight="1" thickBot="1" x14ac:dyDescent="0.3">
      <c r="A36" s="11">
        <v>45989</v>
      </c>
      <c r="B36" s="33" t="s">
        <v>74</v>
      </c>
      <c r="C36" s="34" t="s">
        <v>37</v>
      </c>
      <c r="D36" s="13">
        <v>12</v>
      </c>
      <c r="E36" s="12">
        <v>20000000</v>
      </c>
      <c r="F36" s="12">
        <v>240000000</v>
      </c>
      <c r="G36" s="13" t="s">
        <v>28</v>
      </c>
      <c r="H36" s="39" t="s">
        <v>20</v>
      </c>
      <c r="I36" s="33" t="s">
        <v>69</v>
      </c>
      <c r="J36" s="36">
        <v>0</v>
      </c>
      <c r="K36" s="14">
        <v>45990</v>
      </c>
      <c r="L36" s="37"/>
      <c r="M36" s="37"/>
      <c r="N36" s="41">
        <v>4</v>
      </c>
    </row>
    <row r="37" spans="1:14" ht="14.25" customHeight="1" thickBot="1" x14ac:dyDescent="0.3">
      <c r="A37" s="11">
        <v>45946</v>
      </c>
      <c r="B37" s="13" t="s">
        <v>75</v>
      </c>
      <c r="C37" s="34" t="s">
        <v>37</v>
      </c>
      <c r="D37" s="30"/>
      <c r="E37" s="12">
        <v>0</v>
      </c>
      <c r="F37" s="12">
        <v>0</v>
      </c>
      <c r="G37" s="13" t="s">
        <v>28</v>
      </c>
      <c r="H37" s="42" t="s">
        <v>48</v>
      </c>
      <c r="I37" s="37"/>
      <c r="J37" s="36">
        <v>0</v>
      </c>
      <c r="K37" s="30"/>
      <c r="L37" s="40"/>
      <c r="M37" s="40"/>
      <c r="N37" s="41">
        <v>0</v>
      </c>
    </row>
    <row r="38" spans="1:14" ht="14.25" customHeight="1" thickBot="1" x14ac:dyDescent="0.3">
      <c r="A38" s="11">
        <v>46030</v>
      </c>
      <c r="B38" s="33" t="s">
        <v>76</v>
      </c>
      <c r="C38" s="34" t="s">
        <v>22</v>
      </c>
      <c r="D38" s="13">
        <v>12</v>
      </c>
      <c r="E38" s="12">
        <v>200000000</v>
      </c>
      <c r="F38" s="12">
        <v>2400000000</v>
      </c>
      <c r="G38" s="13" t="s">
        <v>28</v>
      </c>
      <c r="H38" s="45" t="s">
        <v>16</v>
      </c>
      <c r="I38" s="13" t="s">
        <v>17</v>
      </c>
      <c r="J38" s="49">
        <v>0.25</v>
      </c>
      <c r="K38" s="14">
        <v>46091</v>
      </c>
      <c r="L38" s="50"/>
      <c r="M38" s="50"/>
      <c r="N38" s="41">
        <v>1</v>
      </c>
    </row>
    <row r="39" spans="1:14" ht="14.25" customHeight="1" thickBot="1" x14ac:dyDescent="0.3">
      <c r="A39" s="11">
        <v>46040</v>
      </c>
      <c r="B39" s="13" t="s">
        <v>77</v>
      </c>
      <c r="C39" s="34" t="s">
        <v>37</v>
      </c>
      <c r="D39" s="13">
        <v>12</v>
      </c>
      <c r="E39" s="12">
        <v>30000000</v>
      </c>
      <c r="F39" s="12">
        <v>360000000</v>
      </c>
      <c r="G39" s="13" t="s">
        <v>15</v>
      </c>
      <c r="H39" s="43" t="s">
        <v>31</v>
      </c>
      <c r="I39" s="30"/>
      <c r="J39" s="51">
        <v>1</v>
      </c>
      <c r="K39" s="14">
        <v>46001</v>
      </c>
      <c r="L39" s="30"/>
      <c r="M39" s="14">
        <v>46113</v>
      </c>
      <c r="N39" s="41">
        <v>3</v>
      </c>
    </row>
    <row r="40" spans="1:14" ht="14.25" customHeight="1" thickBot="1" x14ac:dyDescent="0.3">
      <c r="A40" s="11">
        <v>45986</v>
      </c>
      <c r="B40" s="13" t="s">
        <v>78</v>
      </c>
      <c r="C40" s="34" t="s">
        <v>25</v>
      </c>
      <c r="D40" s="13">
        <v>24</v>
      </c>
      <c r="E40" s="12">
        <v>45000000</v>
      </c>
      <c r="F40" s="12">
        <v>1080000000</v>
      </c>
      <c r="G40" s="13" t="s">
        <v>28</v>
      </c>
      <c r="H40" s="45" t="s">
        <v>16</v>
      </c>
      <c r="I40" s="13" t="s">
        <v>17</v>
      </c>
      <c r="J40" s="49">
        <v>0.25</v>
      </c>
      <c r="K40" s="14">
        <v>46066</v>
      </c>
      <c r="L40" s="13" t="s">
        <v>64</v>
      </c>
      <c r="M40" s="30"/>
      <c r="N40" s="41">
        <v>1</v>
      </c>
    </row>
    <row r="41" spans="1:14" ht="14.25" customHeight="1" thickBot="1" x14ac:dyDescent="0.3">
      <c r="A41" s="11">
        <v>46010</v>
      </c>
      <c r="B41" s="33" t="s">
        <v>79</v>
      </c>
      <c r="C41" s="34" t="s">
        <v>25</v>
      </c>
      <c r="D41" s="13">
        <v>12</v>
      </c>
      <c r="E41" s="12">
        <v>240000000</v>
      </c>
      <c r="F41" s="12">
        <v>2880000000</v>
      </c>
      <c r="G41" s="13" t="s">
        <v>28</v>
      </c>
      <c r="H41" s="45" t="s">
        <v>16</v>
      </c>
      <c r="I41" s="13" t="s">
        <v>69</v>
      </c>
      <c r="J41" s="49">
        <v>0.25</v>
      </c>
      <c r="K41" s="14">
        <v>46092</v>
      </c>
      <c r="L41" s="30"/>
      <c r="M41" s="30"/>
      <c r="N41" s="41">
        <v>1</v>
      </c>
    </row>
    <row r="42" spans="1:14" ht="14.25" customHeight="1" thickBot="1" x14ac:dyDescent="0.3">
      <c r="A42" s="11">
        <v>46036</v>
      </c>
      <c r="B42" s="13" t="s">
        <v>80</v>
      </c>
      <c r="C42" s="34" t="s">
        <v>37</v>
      </c>
      <c r="D42" s="30"/>
      <c r="E42" s="12">
        <v>0</v>
      </c>
      <c r="F42" s="12">
        <v>0</v>
      </c>
      <c r="G42" s="13" t="s">
        <v>73</v>
      </c>
      <c r="H42" s="42" t="s">
        <v>41</v>
      </c>
      <c r="I42" s="30"/>
      <c r="J42" s="30"/>
      <c r="K42" s="30"/>
      <c r="L42" s="30"/>
      <c r="M42" s="50"/>
      <c r="N42" s="41">
        <v>6</v>
      </c>
    </row>
    <row r="43" spans="1:14" ht="14.25" customHeight="1" thickBot="1" x14ac:dyDescent="0.3">
      <c r="A43" s="11">
        <v>46040</v>
      </c>
      <c r="B43" s="33" t="s">
        <v>81</v>
      </c>
      <c r="C43" s="34" t="s">
        <v>19</v>
      </c>
      <c r="D43" s="13">
        <v>12</v>
      </c>
      <c r="E43" s="12">
        <v>300000000</v>
      </c>
      <c r="F43" s="12">
        <v>3600000000</v>
      </c>
      <c r="G43" s="13" t="s">
        <v>15</v>
      </c>
      <c r="H43" s="39" t="s">
        <v>20</v>
      </c>
      <c r="I43" s="13" t="s">
        <v>69</v>
      </c>
      <c r="J43" s="49">
        <v>0</v>
      </c>
      <c r="K43" s="14">
        <v>46020</v>
      </c>
      <c r="L43" s="30"/>
      <c r="M43" s="50"/>
      <c r="N43" s="41">
        <v>4</v>
      </c>
    </row>
    <row r="44" spans="1:14" ht="14.25" customHeight="1" thickBot="1" x14ac:dyDescent="0.3">
      <c r="A44" s="11">
        <v>46041</v>
      </c>
      <c r="B44" s="13" t="s">
        <v>82</v>
      </c>
      <c r="C44" s="34" t="s">
        <v>37</v>
      </c>
      <c r="D44" s="30"/>
      <c r="E44" s="12">
        <v>0</v>
      </c>
      <c r="F44" s="12">
        <v>0</v>
      </c>
      <c r="G44" s="13" t="s">
        <v>73</v>
      </c>
      <c r="H44" s="42" t="s">
        <v>41</v>
      </c>
      <c r="I44" s="30"/>
      <c r="J44" s="30"/>
      <c r="K44" s="30"/>
      <c r="L44" s="30"/>
      <c r="M44" s="50"/>
      <c r="N44" s="41">
        <v>6</v>
      </c>
    </row>
    <row r="45" spans="1:14" ht="14.25" customHeight="1" thickBot="1" x14ac:dyDescent="0.3">
      <c r="A45" s="11">
        <v>46047</v>
      </c>
      <c r="B45" s="33" t="s">
        <v>83</v>
      </c>
      <c r="C45" s="34" t="s">
        <v>19</v>
      </c>
      <c r="D45" s="13">
        <v>12</v>
      </c>
      <c r="E45" s="12">
        <v>90000000</v>
      </c>
      <c r="F45" s="12">
        <v>1080000000</v>
      </c>
      <c r="G45" s="13" t="s">
        <v>28</v>
      </c>
      <c r="H45" s="39" t="s">
        <v>20</v>
      </c>
      <c r="I45" s="13" t="s">
        <v>17</v>
      </c>
      <c r="J45" s="52">
        <v>0.5</v>
      </c>
      <c r="K45" s="14">
        <v>46052</v>
      </c>
      <c r="L45" s="30"/>
      <c r="M45" s="30"/>
      <c r="N45" s="41">
        <v>4</v>
      </c>
    </row>
    <row r="46" spans="1:14" ht="14.25" customHeight="1" thickBot="1" x14ac:dyDescent="0.3">
      <c r="A46" s="11">
        <v>46067</v>
      </c>
      <c r="B46" s="33" t="s">
        <v>84</v>
      </c>
      <c r="C46" s="34" t="s">
        <v>63</v>
      </c>
      <c r="D46" s="13">
        <v>3</v>
      </c>
      <c r="E46" s="12">
        <v>300000000</v>
      </c>
      <c r="F46" s="12">
        <v>900000000</v>
      </c>
      <c r="G46" s="13" t="s">
        <v>28</v>
      </c>
      <c r="H46" s="39" t="s">
        <v>20</v>
      </c>
      <c r="I46" s="13" t="s">
        <v>17</v>
      </c>
      <c r="J46" s="49">
        <v>0.25</v>
      </c>
      <c r="K46" s="14">
        <v>46070</v>
      </c>
      <c r="L46" s="30"/>
      <c r="M46" s="30"/>
      <c r="N46" s="41">
        <v>4</v>
      </c>
    </row>
    <row r="47" spans="1:14" ht="14.25" customHeight="1" thickBot="1" x14ac:dyDescent="0.3">
      <c r="A47" s="11">
        <v>46065</v>
      </c>
      <c r="B47" s="33" t="s">
        <v>85</v>
      </c>
      <c r="C47" s="34" t="s">
        <v>25</v>
      </c>
      <c r="D47" s="13">
        <v>12</v>
      </c>
      <c r="E47" s="12">
        <v>350000000</v>
      </c>
      <c r="F47" s="12">
        <v>4200000000</v>
      </c>
      <c r="G47" s="13" t="s">
        <v>15</v>
      </c>
      <c r="H47" s="39" t="s">
        <v>20</v>
      </c>
      <c r="I47" s="13" t="s">
        <v>17</v>
      </c>
      <c r="J47" s="52">
        <v>0.5</v>
      </c>
      <c r="K47" s="14">
        <v>46093</v>
      </c>
      <c r="L47" s="13" t="s">
        <v>64</v>
      </c>
      <c r="M47" s="30"/>
      <c r="N47" s="41">
        <v>4</v>
      </c>
    </row>
    <row r="48" spans="1:14" ht="14.25" customHeight="1" thickBot="1" x14ac:dyDescent="0.3">
      <c r="A48" s="11">
        <v>46026</v>
      </c>
      <c r="B48" s="33" t="s">
        <v>86</v>
      </c>
      <c r="C48" s="34" t="s">
        <v>22</v>
      </c>
      <c r="D48" s="13">
        <v>12</v>
      </c>
      <c r="E48" s="12">
        <v>120000000</v>
      </c>
      <c r="F48" s="12">
        <v>1440000000</v>
      </c>
      <c r="G48" s="13" t="s">
        <v>28</v>
      </c>
      <c r="H48" s="42" t="s">
        <v>48</v>
      </c>
      <c r="I48" s="13" t="s">
        <v>69</v>
      </c>
      <c r="J48" s="49">
        <v>0.25</v>
      </c>
      <c r="K48" s="14">
        <v>46038</v>
      </c>
      <c r="L48" s="30"/>
      <c r="M48" s="30"/>
      <c r="N48" s="41">
        <v>0</v>
      </c>
    </row>
    <row r="49" spans="1:14" ht="14.25" customHeight="1" thickBot="1" x14ac:dyDescent="0.3">
      <c r="A49" s="11">
        <v>46037</v>
      </c>
      <c r="B49" s="13" t="s">
        <v>87</v>
      </c>
      <c r="C49" s="34" t="s">
        <v>63</v>
      </c>
      <c r="D49" s="13">
        <v>24</v>
      </c>
      <c r="E49" s="12">
        <v>0</v>
      </c>
      <c r="F49" s="12">
        <v>0</v>
      </c>
      <c r="G49" s="13" t="s">
        <v>28</v>
      </c>
      <c r="H49" s="42" t="s">
        <v>48</v>
      </c>
      <c r="I49" s="13" t="s">
        <v>55</v>
      </c>
      <c r="J49" s="30"/>
      <c r="K49" s="14">
        <v>46069</v>
      </c>
      <c r="L49" s="13" t="s">
        <v>56</v>
      </c>
      <c r="M49" s="30"/>
      <c r="N49" s="41">
        <v>0</v>
      </c>
    </row>
    <row r="50" spans="1:14" ht="14.25" customHeight="1" thickBot="1" x14ac:dyDescent="0.3">
      <c r="A50" s="11">
        <v>46040</v>
      </c>
      <c r="B50" s="13" t="s">
        <v>88</v>
      </c>
      <c r="C50" s="34" t="s">
        <v>37</v>
      </c>
      <c r="D50" s="30"/>
      <c r="E50" s="12">
        <v>0</v>
      </c>
      <c r="F50" s="12">
        <v>0</v>
      </c>
      <c r="G50" s="13" t="s">
        <v>73</v>
      </c>
      <c r="H50" s="42" t="s">
        <v>41</v>
      </c>
      <c r="I50" s="30"/>
      <c r="J50" s="30"/>
      <c r="K50" s="14">
        <v>45676</v>
      </c>
      <c r="L50" s="30"/>
      <c r="M50" s="30"/>
      <c r="N50" s="41">
        <v>6</v>
      </c>
    </row>
    <row r="51" spans="1:14" ht="14.25" customHeight="1" thickBot="1" x14ac:dyDescent="0.3">
      <c r="A51" s="11">
        <v>46073</v>
      </c>
      <c r="B51" s="33" t="s">
        <v>89</v>
      </c>
      <c r="C51" s="34" t="s">
        <v>25</v>
      </c>
      <c r="D51" s="13">
        <v>24</v>
      </c>
      <c r="E51" s="12">
        <v>60000000</v>
      </c>
      <c r="F51" s="12">
        <v>1440000000</v>
      </c>
      <c r="G51" s="13" t="s">
        <v>15</v>
      </c>
      <c r="H51" s="45" t="s">
        <v>16</v>
      </c>
      <c r="I51" s="13" t="s">
        <v>17</v>
      </c>
      <c r="J51" s="49">
        <v>0.25</v>
      </c>
      <c r="K51" s="14">
        <v>45676</v>
      </c>
      <c r="L51" s="30"/>
      <c r="M51" s="30"/>
      <c r="N51" s="41">
        <v>1</v>
      </c>
    </row>
    <row r="52" spans="1:14" ht="14.25" customHeight="1" thickBot="1" x14ac:dyDescent="0.3">
      <c r="A52" s="11">
        <v>46054</v>
      </c>
      <c r="B52" s="13" t="s">
        <v>158</v>
      </c>
      <c r="C52" s="34" t="s">
        <v>25</v>
      </c>
      <c r="D52" s="13">
        <v>36</v>
      </c>
      <c r="E52" s="15">
        <v>174000000</v>
      </c>
      <c r="F52" s="12">
        <v>6264000000</v>
      </c>
      <c r="G52" s="13" t="s">
        <v>15</v>
      </c>
      <c r="H52" s="45" t="s">
        <v>16</v>
      </c>
      <c r="I52" s="13" t="s">
        <v>69</v>
      </c>
      <c r="J52" s="52">
        <v>0.5</v>
      </c>
      <c r="K52" s="14">
        <v>46071</v>
      </c>
      <c r="L52" s="13" t="s">
        <v>64</v>
      </c>
      <c r="M52" s="30"/>
      <c r="N52" s="41">
        <v>1</v>
      </c>
    </row>
    <row r="53" spans="1:14" ht="14.25" customHeight="1" thickBot="1" x14ac:dyDescent="0.3">
      <c r="A53" s="11">
        <v>46068</v>
      </c>
      <c r="B53" s="13" t="s">
        <v>159</v>
      </c>
      <c r="C53" s="34" t="s">
        <v>25</v>
      </c>
      <c r="D53" s="13">
        <v>12</v>
      </c>
      <c r="E53" s="12">
        <v>51000000</v>
      </c>
      <c r="F53" s="12">
        <v>612000000</v>
      </c>
      <c r="G53" s="13" t="s">
        <v>28</v>
      </c>
      <c r="H53" s="45" t="s">
        <v>16</v>
      </c>
      <c r="I53" s="13" t="s">
        <v>69</v>
      </c>
      <c r="J53" s="52">
        <v>0.5</v>
      </c>
      <c r="K53" s="14">
        <v>46080</v>
      </c>
      <c r="L53" s="13" t="s">
        <v>64</v>
      </c>
      <c r="M53" s="30"/>
      <c r="N53" s="41">
        <v>1</v>
      </c>
    </row>
    <row r="54" spans="1:14" ht="14.25" customHeight="1" thickBot="1" x14ac:dyDescent="0.3">
      <c r="A54" s="11">
        <v>46068</v>
      </c>
      <c r="B54" s="13" t="s">
        <v>90</v>
      </c>
      <c r="C54" s="34" t="s">
        <v>25</v>
      </c>
      <c r="D54" s="13">
        <v>12</v>
      </c>
      <c r="E54" s="12">
        <v>83000000</v>
      </c>
      <c r="F54" s="12">
        <v>996000000</v>
      </c>
      <c r="G54" s="13" t="s">
        <v>28</v>
      </c>
      <c r="H54" s="43" t="s">
        <v>31</v>
      </c>
      <c r="I54" s="13" t="s">
        <v>32</v>
      </c>
      <c r="J54" s="51">
        <v>1</v>
      </c>
      <c r="K54" s="14">
        <v>46073</v>
      </c>
      <c r="L54" s="13" t="s">
        <v>64</v>
      </c>
      <c r="M54" s="14">
        <v>46105</v>
      </c>
      <c r="N54" s="41">
        <v>3</v>
      </c>
    </row>
    <row r="55" spans="1:14" ht="14.25" customHeight="1" thickBot="1" x14ac:dyDescent="0.3">
      <c r="A55" s="11">
        <v>46055</v>
      </c>
      <c r="B55" s="13" t="s">
        <v>91</v>
      </c>
      <c r="C55" s="34" t="s">
        <v>37</v>
      </c>
      <c r="D55" s="13">
        <v>12</v>
      </c>
      <c r="E55" s="12">
        <v>300000000</v>
      </c>
      <c r="F55" s="12">
        <v>3600000000</v>
      </c>
      <c r="G55" s="13" t="s">
        <v>15</v>
      </c>
      <c r="H55" s="45" t="s">
        <v>16</v>
      </c>
      <c r="I55" s="13" t="s">
        <v>69</v>
      </c>
      <c r="J55" s="52">
        <v>0.5</v>
      </c>
      <c r="K55" s="14">
        <v>46082</v>
      </c>
      <c r="L55" s="13" t="s">
        <v>56</v>
      </c>
      <c r="M55" s="30"/>
      <c r="N55" s="41">
        <v>1</v>
      </c>
    </row>
    <row r="56" spans="1:14" ht="14.25" customHeight="1" thickBot="1" x14ac:dyDescent="0.3">
      <c r="A56" s="11">
        <v>46055</v>
      </c>
      <c r="B56" s="13" t="s">
        <v>92</v>
      </c>
      <c r="C56" s="34" t="s">
        <v>37</v>
      </c>
      <c r="D56" s="13">
        <v>12</v>
      </c>
      <c r="E56" s="12">
        <v>180000000</v>
      </c>
      <c r="F56" s="12">
        <v>2160000000</v>
      </c>
      <c r="G56" s="13" t="s">
        <v>15</v>
      </c>
      <c r="H56" s="45" t="s">
        <v>16</v>
      </c>
      <c r="I56" s="13" t="s">
        <v>69</v>
      </c>
      <c r="J56" s="53">
        <v>0.75</v>
      </c>
      <c r="K56" s="14">
        <v>46080</v>
      </c>
      <c r="L56" s="13" t="s">
        <v>56</v>
      </c>
      <c r="M56" s="30"/>
      <c r="N56" s="41">
        <v>1</v>
      </c>
    </row>
    <row r="57" spans="1:14" ht="14.25" customHeight="1" thickBot="1" x14ac:dyDescent="0.3">
      <c r="A57" s="11">
        <v>46072</v>
      </c>
      <c r="B57" s="13" t="s">
        <v>93</v>
      </c>
      <c r="C57" s="34" t="s">
        <v>22</v>
      </c>
      <c r="D57" s="13">
        <v>24</v>
      </c>
      <c r="E57" s="12">
        <v>600000000</v>
      </c>
      <c r="F57" s="12">
        <v>14400000000</v>
      </c>
      <c r="G57" s="13" t="s">
        <v>28</v>
      </c>
      <c r="H57" s="45" t="s">
        <v>16</v>
      </c>
      <c r="I57" s="13" t="s">
        <v>55</v>
      </c>
      <c r="J57" s="49">
        <v>0.25</v>
      </c>
      <c r="K57" s="14">
        <v>46090</v>
      </c>
      <c r="L57" s="13" t="s">
        <v>56</v>
      </c>
      <c r="M57" s="30"/>
      <c r="N57" s="41">
        <v>1</v>
      </c>
    </row>
    <row r="58" spans="1:14" ht="14.25" customHeight="1" thickBot="1" x14ac:dyDescent="0.3">
      <c r="A58" s="11">
        <v>46073</v>
      </c>
      <c r="B58" s="13" t="s">
        <v>94</v>
      </c>
      <c r="C58" s="34" t="s">
        <v>25</v>
      </c>
      <c r="D58" s="13">
        <v>12</v>
      </c>
      <c r="E58" s="12">
        <v>45000000</v>
      </c>
      <c r="F58" s="12">
        <v>540000000</v>
      </c>
      <c r="G58" s="13" t="s">
        <v>28</v>
      </c>
      <c r="H58" s="46" t="s">
        <v>154</v>
      </c>
      <c r="I58" s="13" t="s">
        <v>69</v>
      </c>
      <c r="J58" s="49">
        <v>0.25</v>
      </c>
      <c r="K58" s="14">
        <v>46070</v>
      </c>
      <c r="L58" s="13" t="s">
        <v>56</v>
      </c>
      <c r="M58" s="30"/>
      <c r="N58" s="41"/>
    </row>
    <row r="59" spans="1:14" ht="14.25" customHeight="1" thickBot="1" x14ac:dyDescent="0.3">
      <c r="A59" s="11">
        <v>46076</v>
      </c>
      <c r="B59" s="13" t="s">
        <v>95</v>
      </c>
      <c r="C59" s="34" t="s">
        <v>37</v>
      </c>
      <c r="D59" s="13">
        <v>12</v>
      </c>
      <c r="E59" s="12">
        <v>0</v>
      </c>
      <c r="F59" s="12">
        <v>0</v>
      </c>
      <c r="G59" s="13" t="s">
        <v>15</v>
      </c>
      <c r="H59" s="42" t="s">
        <v>41</v>
      </c>
      <c r="I59" s="13" t="s">
        <v>55</v>
      </c>
      <c r="J59" s="30"/>
      <c r="K59" s="30"/>
      <c r="L59" s="30"/>
      <c r="M59" s="30"/>
      <c r="N59" s="41">
        <v>6</v>
      </c>
    </row>
    <row r="60" spans="1:14" ht="14.25" customHeight="1" thickBot="1" x14ac:dyDescent="0.3">
      <c r="A60" s="11">
        <v>46076</v>
      </c>
      <c r="B60" s="13" t="s">
        <v>96</v>
      </c>
      <c r="C60" s="34" t="s">
        <v>37</v>
      </c>
      <c r="D60" s="13">
        <v>12</v>
      </c>
      <c r="E60" s="12">
        <v>230000000</v>
      </c>
      <c r="F60" s="12">
        <v>2760000000</v>
      </c>
      <c r="G60" s="13" t="s">
        <v>15</v>
      </c>
      <c r="H60" s="45" t="s">
        <v>16</v>
      </c>
      <c r="I60" s="13" t="s">
        <v>69</v>
      </c>
      <c r="J60" s="49">
        <v>0.25</v>
      </c>
      <c r="K60" s="14">
        <v>46094</v>
      </c>
      <c r="L60" s="13" t="s">
        <v>64</v>
      </c>
      <c r="M60" s="30"/>
      <c r="N60" s="41">
        <v>1</v>
      </c>
    </row>
    <row r="61" spans="1:14" ht="14.25" customHeight="1" thickBot="1" x14ac:dyDescent="0.3">
      <c r="A61" s="11">
        <v>46077</v>
      </c>
      <c r="B61" s="13" t="s">
        <v>97</v>
      </c>
      <c r="C61" s="34" t="s">
        <v>25</v>
      </c>
      <c r="D61" s="30"/>
      <c r="E61" s="12">
        <v>0</v>
      </c>
      <c r="F61" s="12">
        <v>0</v>
      </c>
      <c r="G61" s="13" t="s">
        <v>28</v>
      </c>
      <c r="H61" s="45" t="s">
        <v>16</v>
      </c>
      <c r="I61" s="13" t="s">
        <v>69</v>
      </c>
      <c r="J61" s="49">
        <v>0</v>
      </c>
      <c r="K61" s="14">
        <v>46083</v>
      </c>
      <c r="L61" s="30"/>
      <c r="M61" s="30"/>
      <c r="N61" s="41">
        <v>1</v>
      </c>
    </row>
    <row r="62" spans="1:14" ht="14.25" customHeight="1" thickBot="1" x14ac:dyDescent="0.3">
      <c r="A62" s="11">
        <v>46077</v>
      </c>
      <c r="B62" s="13" t="s">
        <v>98</v>
      </c>
      <c r="C62" s="34" t="s">
        <v>99</v>
      </c>
      <c r="D62" s="30"/>
      <c r="E62" s="12">
        <v>0</v>
      </c>
      <c r="F62" s="12">
        <v>0</v>
      </c>
      <c r="G62" s="13" t="s">
        <v>28</v>
      </c>
      <c r="H62" s="45" t="s">
        <v>16</v>
      </c>
      <c r="I62" s="13" t="s">
        <v>69</v>
      </c>
      <c r="J62" s="49">
        <v>0</v>
      </c>
      <c r="K62" s="14">
        <v>46094</v>
      </c>
      <c r="L62" s="30"/>
      <c r="M62" s="30"/>
      <c r="N62" s="41">
        <v>1</v>
      </c>
    </row>
    <row r="63" spans="1:14" ht="14.25" customHeight="1" thickBot="1" x14ac:dyDescent="0.3">
      <c r="A63" s="11">
        <v>46077</v>
      </c>
      <c r="B63" s="13" t="s">
        <v>100</v>
      </c>
      <c r="C63" s="34" t="s">
        <v>37</v>
      </c>
      <c r="D63" s="13">
        <v>12</v>
      </c>
      <c r="E63" s="12">
        <v>250000000</v>
      </c>
      <c r="F63" s="12">
        <v>3000000000</v>
      </c>
      <c r="G63" s="13" t="s">
        <v>15</v>
      </c>
      <c r="H63" s="45" t="s">
        <v>16</v>
      </c>
      <c r="I63" s="13" t="s">
        <v>69</v>
      </c>
      <c r="J63" s="49">
        <v>0.25</v>
      </c>
      <c r="K63" s="14">
        <v>46094</v>
      </c>
      <c r="L63" s="13" t="s">
        <v>56</v>
      </c>
      <c r="M63" s="30"/>
      <c r="N63" s="41">
        <v>1</v>
      </c>
    </row>
    <row r="64" spans="1:14" ht="14.25" customHeight="1" thickBot="1" x14ac:dyDescent="0.3">
      <c r="A64" s="11">
        <v>46077</v>
      </c>
      <c r="B64" s="13" t="s">
        <v>101</v>
      </c>
      <c r="C64" s="34" t="s">
        <v>25</v>
      </c>
      <c r="D64" s="30"/>
      <c r="E64" s="12">
        <v>0</v>
      </c>
      <c r="F64" s="12">
        <v>0</v>
      </c>
      <c r="G64" s="13" t="s">
        <v>28</v>
      </c>
      <c r="H64" s="42" t="s">
        <v>48</v>
      </c>
      <c r="I64" s="13" t="s">
        <v>55</v>
      </c>
      <c r="J64" s="30"/>
      <c r="K64" s="13" t="s">
        <v>161</v>
      </c>
      <c r="L64" s="30"/>
      <c r="M64" s="30"/>
      <c r="N64" s="41">
        <v>0</v>
      </c>
    </row>
    <row r="65" spans="1:14" ht="14.25" customHeight="1" thickBot="1" x14ac:dyDescent="0.3">
      <c r="A65" s="11">
        <v>46078</v>
      </c>
      <c r="B65" s="13" t="s">
        <v>102</v>
      </c>
      <c r="C65" s="34" t="s">
        <v>103</v>
      </c>
      <c r="D65" s="13">
        <v>12</v>
      </c>
      <c r="E65" s="12">
        <v>0</v>
      </c>
      <c r="F65" s="12">
        <v>0</v>
      </c>
      <c r="G65" s="13" t="s">
        <v>28</v>
      </c>
      <c r="H65" s="35" t="s">
        <v>155</v>
      </c>
      <c r="I65" s="13" t="s">
        <v>55</v>
      </c>
      <c r="J65" s="30"/>
      <c r="K65" s="13" t="s">
        <v>161</v>
      </c>
      <c r="L65" s="13" t="s">
        <v>64</v>
      </c>
      <c r="M65" s="30"/>
      <c r="N65" s="41"/>
    </row>
    <row r="66" spans="1:14" ht="14.25" customHeight="1" thickBot="1" x14ac:dyDescent="0.3">
      <c r="A66" s="11">
        <v>46076</v>
      </c>
      <c r="B66" s="13" t="s">
        <v>163</v>
      </c>
      <c r="C66" s="34" t="s">
        <v>22</v>
      </c>
      <c r="D66" s="30"/>
      <c r="E66" s="12">
        <v>0</v>
      </c>
      <c r="F66" s="12">
        <v>0</v>
      </c>
      <c r="G66" s="13" t="s">
        <v>15</v>
      </c>
      <c r="H66" s="45" t="s">
        <v>55</v>
      </c>
      <c r="I66" s="13" t="s">
        <v>55</v>
      </c>
      <c r="J66" s="30"/>
      <c r="K66" s="30"/>
      <c r="L66" s="30"/>
      <c r="M66" s="30"/>
      <c r="N66" s="41">
        <v>7</v>
      </c>
    </row>
    <row r="67" spans="1:14" ht="14.25" customHeight="1" thickBot="1" x14ac:dyDescent="0.3">
      <c r="A67" s="11">
        <v>46083</v>
      </c>
      <c r="B67" s="13" t="s">
        <v>104</v>
      </c>
      <c r="C67" s="34" t="s">
        <v>22</v>
      </c>
      <c r="D67" s="13">
        <v>12</v>
      </c>
      <c r="E67" s="12">
        <v>120000000</v>
      </c>
      <c r="F67" s="12">
        <v>1440000000</v>
      </c>
      <c r="G67" s="13" t="s">
        <v>105</v>
      </c>
      <c r="H67" s="45" t="s">
        <v>16</v>
      </c>
      <c r="I67" s="13" t="s">
        <v>69</v>
      </c>
      <c r="J67" s="49">
        <v>0.25</v>
      </c>
      <c r="K67" s="14">
        <v>46101</v>
      </c>
      <c r="L67" s="13" t="s">
        <v>64</v>
      </c>
      <c r="M67" s="30"/>
      <c r="N67" s="41">
        <v>1</v>
      </c>
    </row>
    <row r="68" spans="1:14" ht="14.25" customHeight="1" thickBot="1" x14ac:dyDescent="0.3">
      <c r="A68" s="11">
        <v>46084</v>
      </c>
      <c r="B68" s="13" t="s">
        <v>175</v>
      </c>
      <c r="C68" s="34" t="s">
        <v>172</v>
      </c>
      <c r="D68" s="30"/>
      <c r="E68" s="12">
        <v>0</v>
      </c>
      <c r="F68" s="12">
        <v>0</v>
      </c>
      <c r="G68" s="13" t="s">
        <v>15</v>
      </c>
      <c r="H68" s="48" t="s">
        <v>54</v>
      </c>
      <c r="I68" s="13" t="s">
        <v>55</v>
      </c>
      <c r="J68" s="30"/>
      <c r="K68" s="14">
        <v>46122</v>
      </c>
      <c r="L68" s="13" t="s">
        <v>56</v>
      </c>
      <c r="M68" s="30"/>
      <c r="N68" s="41">
        <v>2</v>
      </c>
    </row>
    <row r="69" spans="1:14" ht="14.25" customHeight="1" thickBot="1" x14ac:dyDescent="0.3">
      <c r="A69" s="11">
        <v>46084</v>
      </c>
      <c r="B69" s="13" t="s">
        <v>106</v>
      </c>
      <c r="C69" s="34" t="s">
        <v>37</v>
      </c>
      <c r="D69" s="13">
        <v>12</v>
      </c>
      <c r="E69" s="12">
        <v>0</v>
      </c>
      <c r="F69" s="12">
        <v>0</v>
      </c>
      <c r="G69" s="13" t="s">
        <v>15</v>
      </c>
      <c r="H69" s="48" t="s">
        <v>54</v>
      </c>
      <c r="I69" s="13" t="s">
        <v>55</v>
      </c>
      <c r="J69" s="30"/>
      <c r="K69" s="14">
        <v>46111</v>
      </c>
      <c r="L69" s="13" t="s">
        <v>64</v>
      </c>
      <c r="M69" s="30"/>
      <c r="N69" s="41">
        <v>2</v>
      </c>
    </row>
    <row r="70" spans="1:14" ht="14.25" customHeight="1" thickBot="1" x14ac:dyDescent="0.3">
      <c r="A70" s="11">
        <v>46084</v>
      </c>
      <c r="B70" s="13" t="s">
        <v>107</v>
      </c>
      <c r="C70" s="34" t="s">
        <v>37</v>
      </c>
      <c r="D70" s="13">
        <v>24</v>
      </c>
      <c r="E70" s="12">
        <v>10000000</v>
      </c>
      <c r="F70" s="12">
        <v>240000000</v>
      </c>
      <c r="G70" s="13" t="s">
        <v>28</v>
      </c>
      <c r="H70" s="45" t="s">
        <v>16</v>
      </c>
      <c r="I70" s="13" t="s">
        <v>69</v>
      </c>
      <c r="J70" s="49">
        <v>0.25</v>
      </c>
      <c r="K70" s="14">
        <v>46099</v>
      </c>
      <c r="L70" s="13" t="s">
        <v>108</v>
      </c>
      <c r="M70" s="30"/>
      <c r="N70" s="41">
        <v>1</v>
      </c>
    </row>
    <row r="71" spans="1:14" ht="14.25" customHeight="1" thickBot="1" x14ac:dyDescent="0.3">
      <c r="A71" s="11">
        <v>46087</v>
      </c>
      <c r="B71" s="13" t="s">
        <v>109</v>
      </c>
      <c r="C71" s="34" t="s">
        <v>37</v>
      </c>
      <c r="D71" s="13">
        <v>24</v>
      </c>
      <c r="E71" s="12">
        <v>59000000</v>
      </c>
      <c r="F71" s="12">
        <v>1416000000</v>
      </c>
      <c r="G71" s="13" t="s">
        <v>28</v>
      </c>
      <c r="H71" s="45" t="s">
        <v>16</v>
      </c>
      <c r="I71" s="13" t="s">
        <v>69</v>
      </c>
      <c r="J71" s="49">
        <v>0.25</v>
      </c>
      <c r="K71" s="14">
        <v>46101</v>
      </c>
      <c r="L71" s="13" t="s">
        <v>56</v>
      </c>
      <c r="M71" s="30"/>
      <c r="N71" s="41">
        <v>1</v>
      </c>
    </row>
    <row r="72" spans="1:14" ht="14.25" customHeight="1" thickBot="1" x14ac:dyDescent="0.3">
      <c r="A72" s="11">
        <v>46086</v>
      </c>
      <c r="B72" s="13" t="s">
        <v>110</v>
      </c>
      <c r="C72" s="34" t="s">
        <v>37</v>
      </c>
      <c r="D72" s="13">
        <v>12</v>
      </c>
      <c r="E72" s="12">
        <v>60000000</v>
      </c>
      <c r="F72" s="12">
        <v>720000000</v>
      </c>
      <c r="G72" s="13" t="s">
        <v>28</v>
      </c>
      <c r="H72" s="45" t="s">
        <v>16</v>
      </c>
      <c r="I72" s="13" t="s">
        <v>69</v>
      </c>
      <c r="J72" s="49">
        <v>0.25</v>
      </c>
      <c r="K72" s="14">
        <v>46097</v>
      </c>
      <c r="L72" s="13" t="s">
        <v>56</v>
      </c>
      <c r="M72" s="30"/>
      <c r="N72" s="41">
        <v>1</v>
      </c>
    </row>
    <row r="73" spans="1:14" ht="14.25" customHeight="1" thickBot="1" x14ac:dyDescent="0.3">
      <c r="A73" s="11">
        <v>46090</v>
      </c>
      <c r="B73" s="13" t="s">
        <v>111</v>
      </c>
      <c r="C73" s="34" t="s">
        <v>37</v>
      </c>
      <c r="D73" s="13">
        <v>12</v>
      </c>
      <c r="E73" s="12">
        <v>200000000</v>
      </c>
      <c r="F73" s="12">
        <v>2400000000</v>
      </c>
      <c r="G73" s="13" t="s">
        <v>28</v>
      </c>
      <c r="H73" s="45" t="s">
        <v>16</v>
      </c>
      <c r="I73" s="13" t="s">
        <v>69</v>
      </c>
      <c r="J73" s="52">
        <v>0.5</v>
      </c>
      <c r="K73" s="14">
        <v>46099</v>
      </c>
      <c r="L73" s="13" t="s">
        <v>64</v>
      </c>
      <c r="M73" s="30"/>
      <c r="N73" s="41">
        <v>1</v>
      </c>
    </row>
    <row r="74" spans="1:14" ht="14.25" customHeight="1" thickBot="1" x14ac:dyDescent="0.3">
      <c r="A74" s="11">
        <v>46090</v>
      </c>
      <c r="B74" s="13" t="s">
        <v>112</v>
      </c>
      <c r="C74" s="34" t="s">
        <v>25</v>
      </c>
      <c r="D74" s="13">
        <v>12</v>
      </c>
      <c r="E74" s="12">
        <v>100000000</v>
      </c>
      <c r="F74" s="12">
        <v>1200000000</v>
      </c>
      <c r="G74" s="13" t="s">
        <v>28</v>
      </c>
      <c r="H74" s="45" t="s">
        <v>16</v>
      </c>
      <c r="I74" s="13" t="s">
        <v>69</v>
      </c>
      <c r="J74" s="49">
        <v>0.25</v>
      </c>
      <c r="K74" s="14">
        <v>46099</v>
      </c>
      <c r="L74" s="13" t="s">
        <v>156</v>
      </c>
      <c r="M74" s="30"/>
      <c r="N74" s="41">
        <v>1</v>
      </c>
    </row>
    <row r="75" spans="1:14" ht="14.25" customHeight="1" thickBot="1" x14ac:dyDescent="0.3">
      <c r="A75" s="11">
        <v>46092</v>
      </c>
      <c r="B75" s="13" t="s">
        <v>113</v>
      </c>
      <c r="C75" s="34" t="s">
        <v>37</v>
      </c>
      <c r="D75" s="13">
        <v>36</v>
      </c>
      <c r="E75" s="12">
        <v>0</v>
      </c>
      <c r="F75" s="12">
        <v>0</v>
      </c>
      <c r="G75" s="13" t="s">
        <v>28</v>
      </c>
      <c r="H75" s="42" t="s">
        <v>41</v>
      </c>
      <c r="I75" s="13" t="s">
        <v>55</v>
      </c>
      <c r="J75" s="49">
        <v>0</v>
      </c>
      <c r="K75" s="14">
        <v>46101</v>
      </c>
      <c r="L75" s="30"/>
      <c r="M75" s="30"/>
      <c r="N75" s="41">
        <v>6</v>
      </c>
    </row>
    <row r="76" spans="1:14" ht="14.25" customHeight="1" thickBot="1" x14ac:dyDescent="0.3">
      <c r="A76" s="11">
        <v>46054</v>
      </c>
      <c r="B76" s="13" t="s">
        <v>160</v>
      </c>
      <c r="C76" s="34" t="s">
        <v>103</v>
      </c>
      <c r="D76" s="13">
        <v>36</v>
      </c>
      <c r="E76" s="15">
        <v>183000000</v>
      </c>
      <c r="F76" s="12">
        <v>6588000000</v>
      </c>
      <c r="G76" s="13" t="s">
        <v>15</v>
      </c>
      <c r="H76" s="45" t="s">
        <v>16</v>
      </c>
      <c r="I76" s="13" t="s">
        <v>69</v>
      </c>
      <c r="J76" s="49">
        <v>0.25</v>
      </c>
      <c r="K76" s="14">
        <v>46085</v>
      </c>
      <c r="L76" s="13" t="s">
        <v>64</v>
      </c>
      <c r="M76" s="30"/>
      <c r="N76" s="41">
        <v>1</v>
      </c>
    </row>
    <row r="77" spans="1:14" ht="14.25" customHeight="1" thickBot="1" x14ac:dyDescent="0.3">
      <c r="A77" s="11">
        <v>46094</v>
      </c>
      <c r="B77" s="13" t="s">
        <v>164</v>
      </c>
      <c r="C77" s="34" t="s">
        <v>37</v>
      </c>
      <c r="D77" s="30"/>
      <c r="E77" s="30"/>
      <c r="F77" s="30"/>
      <c r="G77" s="13" t="s">
        <v>28</v>
      </c>
      <c r="H77" s="48" t="s">
        <v>54</v>
      </c>
      <c r="I77" s="13" t="s">
        <v>69</v>
      </c>
      <c r="J77" s="49">
        <v>0</v>
      </c>
      <c r="K77" s="14">
        <v>46112</v>
      </c>
      <c r="L77" s="13" t="s">
        <v>56</v>
      </c>
      <c r="M77" s="30"/>
      <c r="N77" s="41"/>
    </row>
    <row r="78" spans="1:14" ht="14.25" customHeight="1" thickBot="1" x14ac:dyDescent="0.3">
      <c r="A78" s="11">
        <v>46098</v>
      </c>
      <c r="B78" s="30" t="s">
        <v>165</v>
      </c>
      <c r="C78" s="34" t="s">
        <v>19</v>
      </c>
      <c r="D78" s="13">
        <v>12</v>
      </c>
      <c r="E78" s="30"/>
      <c r="F78" s="30"/>
      <c r="G78" s="13" t="s">
        <v>15</v>
      </c>
      <c r="H78" s="48" t="s">
        <v>54</v>
      </c>
      <c r="I78" s="13" t="s">
        <v>69</v>
      </c>
      <c r="J78" s="49">
        <v>0</v>
      </c>
      <c r="K78" s="14">
        <v>46113</v>
      </c>
      <c r="L78" s="13" t="s">
        <v>56</v>
      </c>
      <c r="M78" s="30"/>
      <c r="N78" s="41">
        <v>1</v>
      </c>
    </row>
    <row r="79" spans="1:14" ht="14.25" customHeight="1" thickBot="1" x14ac:dyDescent="0.3">
      <c r="A79" s="11">
        <v>46098</v>
      </c>
      <c r="B79" s="30" t="s">
        <v>166</v>
      </c>
      <c r="C79" s="34" t="s">
        <v>25</v>
      </c>
      <c r="D79" s="30"/>
      <c r="E79" s="30"/>
      <c r="F79" s="30"/>
      <c r="G79" s="13" t="s">
        <v>28</v>
      </c>
      <c r="H79" s="48" t="s">
        <v>54</v>
      </c>
      <c r="I79" s="13" t="s">
        <v>69</v>
      </c>
      <c r="J79" s="49">
        <v>0</v>
      </c>
      <c r="K79" s="14">
        <v>46129</v>
      </c>
      <c r="L79" s="13" t="s">
        <v>64</v>
      </c>
      <c r="M79" s="30"/>
    </row>
    <row r="80" spans="1:14" ht="14.25" customHeight="1" thickBot="1" x14ac:dyDescent="0.3">
      <c r="A80" s="11">
        <v>46101</v>
      </c>
      <c r="B80" s="30" t="s">
        <v>173</v>
      </c>
      <c r="C80" s="34" t="s">
        <v>25</v>
      </c>
      <c r="D80" s="13">
        <v>12</v>
      </c>
      <c r="E80" s="30"/>
      <c r="F80" s="30"/>
      <c r="G80" s="13" t="s">
        <v>28</v>
      </c>
      <c r="H80" s="48" t="s">
        <v>54</v>
      </c>
      <c r="I80" s="13" t="s">
        <v>69</v>
      </c>
      <c r="J80" s="49">
        <v>0</v>
      </c>
      <c r="K80" s="14">
        <v>46120</v>
      </c>
      <c r="L80" s="13" t="s">
        <v>64</v>
      </c>
      <c r="M80" s="30"/>
    </row>
    <row r="81" spans="1:13" ht="14.25" customHeight="1" thickBot="1" x14ac:dyDescent="0.3">
      <c r="A81" s="11">
        <v>46108</v>
      </c>
      <c r="B81" s="30" t="s">
        <v>176</v>
      </c>
      <c r="C81" s="34" t="s">
        <v>22</v>
      </c>
      <c r="D81" s="30"/>
      <c r="E81" s="30"/>
      <c r="F81" s="30"/>
      <c r="G81" s="13" t="s">
        <v>28</v>
      </c>
      <c r="H81" s="48" t="s">
        <v>54</v>
      </c>
      <c r="I81" s="13" t="s">
        <v>69</v>
      </c>
      <c r="J81" s="49">
        <v>0</v>
      </c>
      <c r="K81" s="14">
        <v>46146</v>
      </c>
      <c r="L81" s="30"/>
      <c r="M81" s="30"/>
    </row>
    <row r="82" spans="1:13" ht="14.25" customHeight="1" thickBot="1" x14ac:dyDescent="0.3">
      <c r="A82" s="11">
        <v>46108</v>
      </c>
      <c r="B82" s="30" t="s">
        <v>177</v>
      </c>
      <c r="C82" s="54" t="s">
        <v>58</v>
      </c>
      <c r="D82" s="30"/>
      <c r="E82" s="30"/>
      <c r="F82" s="30"/>
      <c r="G82" s="13" t="s">
        <v>28</v>
      </c>
      <c r="H82" s="45" t="s">
        <v>55</v>
      </c>
      <c r="I82" s="13" t="s">
        <v>55</v>
      </c>
      <c r="J82" s="49">
        <v>0</v>
      </c>
      <c r="K82" s="30"/>
      <c r="L82" s="30"/>
      <c r="M82" s="30"/>
    </row>
    <row r="83" spans="1:13" ht="14.25" customHeight="1" thickBot="1" x14ac:dyDescent="0.3">
      <c r="A83" s="11">
        <v>46107</v>
      </c>
      <c r="B83" s="30" t="s">
        <v>178</v>
      </c>
      <c r="C83" s="54" t="s">
        <v>19</v>
      </c>
      <c r="D83" s="30"/>
      <c r="E83" s="30"/>
      <c r="F83" s="30"/>
      <c r="G83" s="13" t="s">
        <v>15</v>
      </c>
      <c r="H83" s="48" t="s">
        <v>54</v>
      </c>
      <c r="I83" s="13" t="s">
        <v>55</v>
      </c>
      <c r="J83" s="49">
        <v>0</v>
      </c>
      <c r="K83" s="14">
        <v>46127</v>
      </c>
      <c r="L83" s="13" t="s">
        <v>56</v>
      </c>
      <c r="M83" s="30"/>
    </row>
    <row r="84" spans="1:13" ht="14.25" customHeight="1" x14ac:dyDescent="0.25">
      <c r="B84" s="55"/>
      <c r="I84" s="56"/>
      <c r="J84" s="56"/>
      <c r="K84" s="56"/>
      <c r="L84" s="56"/>
    </row>
    <row r="85" spans="1:13" ht="14.25" customHeight="1" x14ac:dyDescent="0.25">
      <c r="B85" s="55"/>
      <c r="I85" s="56"/>
      <c r="J85" s="56"/>
      <c r="K85" s="56"/>
      <c r="L85" s="56"/>
    </row>
    <row r="86" spans="1:13" ht="14.25" customHeight="1" x14ac:dyDescent="0.25">
      <c r="B86" s="55"/>
      <c r="I86" s="56"/>
      <c r="J86" s="56"/>
      <c r="K86" s="56"/>
      <c r="L86" s="56"/>
    </row>
    <row r="87" spans="1:13" ht="14.25" customHeight="1" x14ac:dyDescent="0.25">
      <c r="B87" s="55"/>
      <c r="I87" s="56"/>
      <c r="J87" s="56"/>
      <c r="K87" s="56"/>
      <c r="L87" s="56"/>
    </row>
    <row r="88" spans="1:13" ht="14.25" customHeight="1" x14ac:dyDescent="0.25">
      <c r="B88" s="55"/>
      <c r="I88" s="56"/>
      <c r="J88" s="56"/>
      <c r="K88" s="56"/>
      <c r="L88" s="56"/>
    </row>
    <row r="89" spans="1:13" ht="14.25" customHeight="1" x14ac:dyDescent="0.25">
      <c r="B89" s="55"/>
      <c r="I89" s="56"/>
      <c r="J89" s="56"/>
      <c r="K89" s="56"/>
      <c r="L89" s="56"/>
    </row>
    <row r="90" spans="1:13" ht="14.25" customHeight="1" x14ac:dyDescent="0.25">
      <c r="B90" s="55"/>
      <c r="I90" s="56"/>
      <c r="J90" s="56"/>
      <c r="K90" s="56"/>
      <c r="L90" s="56"/>
    </row>
    <row r="91" spans="1:13" ht="14.25" customHeight="1" x14ac:dyDescent="0.25">
      <c r="B91" s="55"/>
      <c r="I91" s="56"/>
      <c r="J91" s="56"/>
      <c r="K91" s="56"/>
      <c r="L91" s="56"/>
    </row>
    <row r="92" spans="1:13" ht="14.25" customHeight="1" x14ac:dyDescent="0.25">
      <c r="B92" s="55"/>
      <c r="I92" s="56"/>
      <c r="J92" s="56"/>
      <c r="K92" s="56"/>
      <c r="L92" s="56"/>
    </row>
    <row r="93" spans="1:13" ht="14.25" customHeight="1" x14ac:dyDescent="0.25">
      <c r="B93" s="55"/>
      <c r="I93" s="56"/>
      <c r="J93" s="56"/>
      <c r="K93" s="56"/>
      <c r="L93" s="56"/>
    </row>
    <row r="94" spans="1:13" ht="14.25" customHeight="1" x14ac:dyDescent="0.25">
      <c r="B94" s="55"/>
      <c r="I94" s="56"/>
      <c r="J94" s="56"/>
      <c r="K94" s="56"/>
      <c r="L94" s="56"/>
    </row>
    <row r="95" spans="1:13" ht="14.25" customHeight="1" x14ac:dyDescent="0.25">
      <c r="B95" s="55"/>
      <c r="I95" s="56"/>
      <c r="J95" s="56"/>
      <c r="K95" s="56"/>
      <c r="L95" s="56"/>
    </row>
    <row r="96" spans="1:13" ht="14.25" customHeight="1" x14ac:dyDescent="0.25">
      <c r="B96" s="55"/>
      <c r="I96" s="56"/>
      <c r="J96" s="56"/>
      <c r="K96" s="56"/>
      <c r="L96" s="56"/>
    </row>
    <row r="97" spans="2:12" ht="14.25" customHeight="1" x14ac:dyDescent="0.25">
      <c r="B97" s="55"/>
      <c r="I97" s="56"/>
      <c r="J97" s="56"/>
      <c r="K97" s="56"/>
      <c r="L97" s="56"/>
    </row>
    <row r="98" spans="2:12" ht="14.25" customHeight="1" x14ac:dyDescent="0.25">
      <c r="B98" s="55"/>
      <c r="I98" s="56"/>
      <c r="J98" s="56"/>
      <c r="K98" s="56"/>
      <c r="L98" s="56"/>
    </row>
    <row r="99" spans="2:12" ht="14.25" customHeight="1" x14ac:dyDescent="0.25">
      <c r="B99" s="55"/>
      <c r="I99" s="56"/>
      <c r="J99" s="56"/>
      <c r="K99" s="56"/>
      <c r="L99" s="56"/>
    </row>
    <row r="100" spans="2:12" ht="14.25" customHeight="1" x14ac:dyDescent="0.25">
      <c r="B100" s="55"/>
      <c r="I100" s="56"/>
      <c r="J100" s="56"/>
      <c r="K100" s="56"/>
      <c r="L100" s="56"/>
    </row>
    <row r="101" spans="2:12" ht="14.25" customHeight="1" x14ac:dyDescent="0.25">
      <c r="B101" s="55"/>
      <c r="I101" s="56"/>
      <c r="J101" s="56"/>
      <c r="K101" s="56"/>
      <c r="L101" s="56"/>
    </row>
    <row r="102" spans="2:12" ht="14.25" customHeight="1" x14ac:dyDescent="0.25">
      <c r="B102" s="55"/>
      <c r="I102" s="56"/>
      <c r="J102" s="56"/>
      <c r="K102" s="56"/>
      <c r="L102" s="56"/>
    </row>
    <row r="103" spans="2:12" ht="14.25" customHeight="1" x14ac:dyDescent="0.25">
      <c r="B103" s="55"/>
      <c r="I103" s="56"/>
      <c r="J103" s="56"/>
      <c r="K103" s="56"/>
      <c r="L103" s="56"/>
    </row>
    <row r="104" spans="2:12" ht="14.25" customHeight="1" x14ac:dyDescent="0.25">
      <c r="B104" s="55"/>
      <c r="I104" s="56"/>
      <c r="J104" s="56"/>
      <c r="K104" s="56"/>
      <c r="L104" s="56"/>
    </row>
    <row r="105" spans="2:12" ht="14.25" customHeight="1" x14ac:dyDescent="0.25">
      <c r="B105" s="55"/>
      <c r="I105" s="56"/>
      <c r="J105" s="56"/>
      <c r="K105" s="56"/>
      <c r="L105" s="56"/>
    </row>
    <row r="106" spans="2:12" ht="14.25" customHeight="1" x14ac:dyDescent="0.25">
      <c r="B106" s="55"/>
      <c r="I106" s="56"/>
      <c r="J106" s="56"/>
      <c r="K106" s="56"/>
      <c r="L106" s="56"/>
    </row>
    <row r="107" spans="2:12" ht="14.25" customHeight="1" x14ac:dyDescent="0.25">
      <c r="B107" s="55"/>
      <c r="I107" s="56"/>
      <c r="J107" s="56"/>
      <c r="K107" s="56"/>
      <c r="L107" s="56"/>
    </row>
    <row r="108" spans="2:12" ht="14.25" customHeight="1" x14ac:dyDescent="0.25">
      <c r="B108" s="55"/>
      <c r="I108" s="56"/>
      <c r="J108" s="56"/>
      <c r="K108" s="56"/>
      <c r="L108" s="56"/>
    </row>
    <row r="109" spans="2:12" ht="14.25" customHeight="1" x14ac:dyDescent="0.25">
      <c r="B109" s="55"/>
      <c r="I109" s="56"/>
      <c r="J109" s="56"/>
      <c r="K109" s="56"/>
      <c r="L109" s="56"/>
    </row>
    <row r="110" spans="2:12" ht="14.25" customHeight="1" x14ac:dyDescent="0.25">
      <c r="B110" s="55"/>
      <c r="I110" s="56"/>
      <c r="J110" s="56"/>
      <c r="K110" s="56"/>
      <c r="L110" s="56"/>
    </row>
    <row r="111" spans="2:12" ht="14.25" customHeight="1" x14ac:dyDescent="0.25">
      <c r="B111" s="55"/>
      <c r="I111" s="56"/>
      <c r="J111" s="56"/>
      <c r="K111" s="56"/>
      <c r="L111" s="56"/>
    </row>
    <row r="112" spans="2:12" ht="14.25" customHeight="1" x14ac:dyDescent="0.25">
      <c r="B112" s="55"/>
      <c r="I112" s="56"/>
      <c r="J112" s="56"/>
      <c r="K112" s="56"/>
      <c r="L112" s="56"/>
    </row>
    <row r="113" spans="2:12" ht="14.25" customHeight="1" x14ac:dyDescent="0.25">
      <c r="B113" s="55"/>
      <c r="I113" s="56"/>
      <c r="J113" s="56"/>
      <c r="K113" s="56"/>
      <c r="L113" s="56"/>
    </row>
    <row r="114" spans="2:12" ht="14.25" customHeight="1" x14ac:dyDescent="0.25">
      <c r="B114" s="55"/>
      <c r="I114" s="56"/>
      <c r="J114" s="56"/>
      <c r="K114" s="56"/>
      <c r="L114" s="56"/>
    </row>
    <row r="115" spans="2:12" ht="14.25" customHeight="1" x14ac:dyDescent="0.25">
      <c r="B115" s="55"/>
      <c r="I115" s="56"/>
      <c r="J115" s="56"/>
      <c r="K115" s="56"/>
      <c r="L115" s="56"/>
    </row>
    <row r="116" spans="2:12" ht="14.25" customHeight="1" x14ac:dyDescent="0.25">
      <c r="B116" s="55"/>
      <c r="I116" s="56"/>
      <c r="J116" s="56"/>
      <c r="K116" s="56"/>
      <c r="L116" s="56"/>
    </row>
    <row r="117" spans="2:12" ht="14.25" customHeight="1" x14ac:dyDescent="0.25">
      <c r="B117" s="55"/>
      <c r="I117" s="56"/>
      <c r="J117" s="56"/>
      <c r="K117" s="56"/>
      <c r="L117" s="56"/>
    </row>
    <row r="118" spans="2:12" ht="14.25" customHeight="1" x14ac:dyDescent="0.25">
      <c r="B118" s="55"/>
      <c r="I118" s="56"/>
      <c r="J118" s="56"/>
      <c r="K118" s="56"/>
      <c r="L118" s="56"/>
    </row>
    <row r="119" spans="2:12" ht="14.25" customHeight="1" x14ac:dyDescent="0.25">
      <c r="B119" s="55"/>
      <c r="I119" s="56"/>
      <c r="J119" s="56"/>
      <c r="K119" s="56"/>
      <c r="L119" s="56"/>
    </row>
    <row r="120" spans="2:12" ht="14.25" customHeight="1" x14ac:dyDescent="0.25">
      <c r="B120" s="55"/>
      <c r="I120" s="56"/>
      <c r="J120" s="56"/>
      <c r="K120" s="56"/>
      <c r="L120" s="56"/>
    </row>
    <row r="121" spans="2:12" ht="14.25" customHeight="1" x14ac:dyDescent="0.25">
      <c r="B121" s="55"/>
      <c r="I121" s="56"/>
      <c r="J121" s="56"/>
      <c r="K121" s="56"/>
      <c r="L121" s="56"/>
    </row>
    <row r="122" spans="2:12" ht="14.25" customHeight="1" x14ac:dyDescent="0.25">
      <c r="B122" s="55"/>
      <c r="I122" s="56"/>
      <c r="J122" s="56"/>
      <c r="K122" s="56"/>
      <c r="L122" s="56"/>
    </row>
    <row r="123" spans="2:12" ht="14.25" customHeight="1" x14ac:dyDescent="0.25">
      <c r="B123" s="55"/>
      <c r="I123" s="56"/>
      <c r="J123" s="56"/>
      <c r="K123" s="56"/>
      <c r="L123" s="56"/>
    </row>
    <row r="124" spans="2:12" ht="14.25" customHeight="1" x14ac:dyDescent="0.25">
      <c r="B124" s="55"/>
      <c r="I124" s="56"/>
      <c r="J124" s="56"/>
      <c r="K124" s="56"/>
      <c r="L124" s="56"/>
    </row>
    <row r="125" spans="2:12" ht="14.25" customHeight="1" x14ac:dyDescent="0.25">
      <c r="B125" s="55"/>
      <c r="I125" s="56"/>
      <c r="J125" s="56"/>
      <c r="K125" s="56"/>
      <c r="L125" s="56"/>
    </row>
    <row r="126" spans="2:12" ht="14.25" customHeight="1" x14ac:dyDescent="0.25">
      <c r="B126" s="55"/>
      <c r="I126" s="56"/>
      <c r="J126" s="56"/>
      <c r="K126" s="56"/>
      <c r="L126" s="56"/>
    </row>
    <row r="127" spans="2:12" ht="14.25" customHeight="1" x14ac:dyDescent="0.25">
      <c r="B127" s="55"/>
      <c r="I127" s="56"/>
      <c r="J127" s="56"/>
      <c r="K127" s="56"/>
      <c r="L127" s="56"/>
    </row>
    <row r="128" spans="2:12" ht="14.25" customHeight="1" x14ac:dyDescent="0.25">
      <c r="B128" s="55"/>
      <c r="I128" s="56"/>
      <c r="J128" s="56"/>
      <c r="K128" s="56"/>
      <c r="L128" s="56"/>
    </row>
    <row r="129" spans="2:12" ht="14.25" customHeight="1" x14ac:dyDescent="0.25">
      <c r="B129" s="55"/>
      <c r="I129" s="56"/>
      <c r="J129" s="56"/>
      <c r="K129" s="56"/>
      <c r="L129" s="56"/>
    </row>
    <row r="130" spans="2:12" ht="14.25" customHeight="1" x14ac:dyDescent="0.25">
      <c r="B130" s="55"/>
      <c r="I130" s="56"/>
      <c r="J130" s="56"/>
      <c r="K130" s="56"/>
      <c r="L130" s="56"/>
    </row>
    <row r="131" spans="2:12" ht="14.25" customHeight="1" x14ac:dyDescent="0.25">
      <c r="B131" s="55"/>
      <c r="I131" s="56"/>
      <c r="J131" s="56"/>
      <c r="K131" s="56"/>
      <c r="L131" s="56"/>
    </row>
    <row r="132" spans="2:12" ht="14.25" customHeight="1" x14ac:dyDescent="0.25">
      <c r="B132" s="55"/>
      <c r="I132" s="56"/>
      <c r="J132" s="56"/>
      <c r="K132" s="56"/>
      <c r="L132" s="56"/>
    </row>
    <row r="133" spans="2:12" ht="14.25" customHeight="1" x14ac:dyDescent="0.25">
      <c r="B133" s="55"/>
      <c r="I133" s="56"/>
      <c r="J133" s="56"/>
      <c r="K133" s="56"/>
      <c r="L133" s="56"/>
    </row>
    <row r="134" spans="2:12" ht="14.25" customHeight="1" x14ac:dyDescent="0.25">
      <c r="B134" s="55"/>
      <c r="I134" s="56"/>
      <c r="J134" s="56"/>
      <c r="K134" s="56"/>
      <c r="L134" s="56"/>
    </row>
    <row r="135" spans="2:12" ht="14.25" customHeight="1" x14ac:dyDescent="0.25">
      <c r="B135" s="55"/>
      <c r="I135" s="56"/>
      <c r="J135" s="56"/>
      <c r="K135" s="56"/>
      <c r="L135" s="56"/>
    </row>
    <row r="136" spans="2:12" ht="14.25" customHeight="1" x14ac:dyDescent="0.25">
      <c r="B136" s="55"/>
      <c r="I136" s="56"/>
      <c r="J136" s="56"/>
      <c r="K136" s="56"/>
      <c r="L136" s="56"/>
    </row>
    <row r="137" spans="2:12" ht="14.25" customHeight="1" x14ac:dyDescent="0.25">
      <c r="B137" s="55"/>
      <c r="I137" s="56"/>
      <c r="J137" s="56"/>
      <c r="K137" s="56"/>
      <c r="L137" s="56"/>
    </row>
    <row r="138" spans="2:12" ht="14.25" customHeight="1" x14ac:dyDescent="0.25">
      <c r="B138" s="55"/>
      <c r="I138" s="56"/>
      <c r="J138" s="56"/>
      <c r="K138" s="56"/>
      <c r="L138" s="56"/>
    </row>
    <row r="139" spans="2:12" ht="14.25" customHeight="1" x14ac:dyDescent="0.25">
      <c r="B139" s="55"/>
      <c r="I139" s="56"/>
      <c r="J139" s="56"/>
      <c r="K139" s="56"/>
      <c r="L139" s="56"/>
    </row>
    <row r="140" spans="2:12" ht="14.25" customHeight="1" x14ac:dyDescent="0.25">
      <c r="B140" s="55"/>
      <c r="I140" s="56"/>
      <c r="J140" s="56"/>
      <c r="K140" s="56"/>
      <c r="L140" s="56"/>
    </row>
    <row r="141" spans="2:12" ht="14.25" customHeight="1" x14ac:dyDescent="0.25">
      <c r="B141" s="55"/>
      <c r="I141" s="56"/>
      <c r="J141" s="56"/>
      <c r="K141" s="56"/>
      <c r="L141" s="56"/>
    </row>
    <row r="142" spans="2:12" ht="14.25" customHeight="1" x14ac:dyDescent="0.25">
      <c r="B142" s="55"/>
      <c r="I142" s="56"/>
      <c r="J142" s="56"/>
      <c r="K142" s="56"/>
      <c r="L142" s="56"/>
    </row>
    <row r="143" spans="2:12" ht="14.25" customHeight="1" x14ac:dyDescent="0.25">
      <c r="B143" s="55"/>
      <c r="I143" s="56"/>
      <c r="J143" s="56"/>
      <c r="K143" s="56"/>
      <c r="L143" s="56"/>
    </row>
    <row r="144" spans="2:12" ht="14.25" customHeight="1" x14ac:dyDescent="0.25">
      <c r="B144" s="55"/>
      <c r="I144" s="56"/>
      <c r="J144" s="56"/>
      <c r="K144" s="56"/>
      <c r="L144" s="56"/>
    </row>
    <row r="145" spans="2:12" ht="14.25" customHeight="1" x14ac:dyDescent="0.25">
      <c r="B145" s="55"/>
      <c r="I145" s="56"/>
      <c r="J145" s="56"/>
      <c r="K145" s="56"/>
      <c r="L145" s="56"/>
    </row>
    <row r="146" spans="2:12" ht="14.25" customHeight="1" x14ac:dyDescent="0.25">
      <c r="B146" s="55"/>
      <c r="I146" s="56"/>
      <c r="J146" s="56"/>
      <c r="K146" s="56"/>
      <c r="L146" s="56"/>
    </row>
    <row r="147" spans="2:12" ht="14.25" customHeight="1" x14ac:dyDescent="0.25">
      <c r="B147" s="55"/>
      <c r="I147" s="56"/>
      <c r="J147" s="56"/>
      <c r="K147" s="56"/>
      <c r="L147" s="56"/>
    </row>
    <row r="148" spans="2:12" ht="14.25" customHeight="1" x14ac:dyDescent="0.25">
      <c r="B148" s="55"/>
      <c r="I148" s="56"/>
      <c r="J148" s="56"/>
      <c r="K148" s="56"/>
      <c r="L148" s="56"/>
    </row>
    <row r="149" spans="2:12" ht="14.25" customHeight="1" x14ac:dyDescent="0.25">
      <c r="B149" s="55"/>
      <c r="I149" s="56"/>
      <c r="J149" s="56"/>
      <c r="K149" s="56"/>
      <c r="L149" s="56"/>
    </row>
    <row r="150" spans="2:12" ht="14.25" customHeight="1" x14ac:dyDescent="0.25">
      <c r="B150" s="55"/>
      <c r="I150" s="56"/>
      <c r="J150" s="56"/>
      <c r="K150" s="56"/>
      <c r="L150" s="56"/>
    </row>
    <row r="151" spans="2:12" ht="14.25" customHeight="1" x14ac:dyDescent="0.25">
      <c r="B151" s="55"/>
      <c r="I151" s="56"/>
      <c r="J151" s="56"/>
      <c r="K151" s="56"/>
      <c r="L151" s="56"/>
    </row>
    <row r="152" spans="2:12" ht="14.25" customHeight="1" x14ac:dyDescent="0.25">
      <c r="B152" s="55"/>
      <c r="I152" s="56"/>
      <c r="J152" s="56"/>
      <c r="K152" s="56"/>
      <c r="L152" s="56"/>
    </row>
    <row r="153" spans="2:12" ht="14.25" customHeight="1" x14ac:dyDescent="0.25">
      <c r="B153" s="55"/>
      <c r="I153" s="56"/>
      <c r="J153" s="56"/>
      <c r="K153" s="56"/>
      <c r="L153" s="56"/>
    </row>
    <row r="154" spans="2:12" ht="14.25" customHeight="1" x14ac:dyDescent="0.25">
      <c r="B154" s="55"/>
      <c r="I154" s="56"/>
      <c r="J154" s="56"/>
      <c r="K154" s="56"/>
      <c r="L154" s="56"/>
    </row>
    <row r="155" spans="2:12" ht="14.25" customHeight="1" x14ac:dyDescent="0.25">
      <c r="B155" s="55"/>
      <c r="I155" s="56"/>
      <c r="J155" s="56"/>
      <c r="K155" s="56"/>
      <c r="L155" s="56"/>
    </row>
    <row r="156" spans="2:12" ht="14.25" customHeight="1" x14ac:dyDescent="0.25">
      <c r="B156" s="55"/>
      <c r="I156" s="56"/>
      <c r="J156" s="56"/>
      <c r="K156" s="56"/>
      <c r="L156" s="56"/>
    </row>
    <row r="157" spans="2:12" ht="14.25" customHeight="1" x14ac:dyDescent="0.25">
      <c r="B157" s="55"/>
      <c r="I157" s="56"/>
      <c r="J157" s="56"/>
      <c r="K157" s="56"/>
      <c r="L157" s="56"/>
    </row>
    <row r="158" spans="2:12" ht="14.25" customHeight="1" x14ac:dyDescent="0.25">
      <c r="B158" s="55"/>
      <c r="I158" s="56"/>
      <c r="J158" s="56"/>
      <c r="K158" s="56"/>
      <c r="L158" s="56"/>
    </row>
    <row r="159" spans="2:12" ht="14.25" customHeight="1" x14ac:dyDescent="0.25">
      <c r="B159" s="55"/>
      <c r="I159" s="56"/>
      <c r="J159" s="56"/>
      <c r="K159" s="56"/>
      <c r="L159" s="56"/>
    </row>
    <row r="160" spans="2:12" ht="14.25" customHeight="1" x14ac:dyDescent="0.25">
      <c r="B160" s="55"/>
      <c r="I160" s="56"/>
      <c r="J160" s="56"/>
      <c r="K160" s="56"/>
      <c r="L160" s="56"/>
    </row>
    <row r="161" spans="2:12" ht="14.25" customHeight="1" x14ac:dyDescent="0.25">
      <c r="B161" s="55"/>
      <c r="I161" s="56"/>
      <c r="J161" s="56"/>
      <c r="K161" s="56"/>
      <c r="L161" s="56"/>
    </row>
    <row r="162" spans="2:12" ht="14.25" customHeight="1" x14ac:dyDescent="0.25">
      <c r="B162" s="55"/>
      <c r="I162" s="56"/>
      <c r="J162" s="56"/>
      <c r="K162" s="56"/>
      <c r="L162" s="56"/>
    </row>
    <row r="163" spans="2:12" ht="14.25" customHeight="1" x14ac:dyDescent="0.25">
      <c r="B163" s="55"/>
      <c r="I163" s="56"/>
      <c r="J163" s="56"/>
      <c r="K163" s="56"/>
      <c r="L163" s="56"/>
    </row>
    <row r="164" spans="2:12" ht="14.25" customHeight="1" x14ac:dyDescent="0.25">
      <c r="B164" s="55"/>
      <c r="I164" s="56"/>
      <c r="J164" s="56"/>
      <c r="K164" s="56"/>
      <c r="L164" s="56"/>
    </row>
    <row r="165" spans="2:12" ht="14.25" customHeight="1" x14ac:dyDescent="0.25">
      <c r="B165" s="55"/>
      <c r="I165" s="56"/>
      <c r="J165" s="56"/>
      <c r="K165" s="56"/>
      <c r="L165" s="56"/>
    </row>
    <row r="166" spans="2:12" ht="14.25" customHeight="1" x14ac:dyDescent="0.25">
      <c r="B166" s="55"/>
      <c r="I166" s="56"/>
      <c r="J166" s="56"/>
      <c r="K166" s="56"/>
      <c r="L166" s="56"/>
    </row>
    <row r="167" spans="2:12" ht="14.25" customHeight="1" x14ac:dyDescent="0.25">
      <c r="B167" s="55"/>
      <c r="I167" s="56"/>
      <c r="J167" s="56"/>
      <c r="K167" s="56"/>
      <c r="L167" s="56"/>
    </row>
    <row r="168" spans="2:12" ht="14.25" customHeight="1" x14ac:dyDescent="0.25">
      <c r="B168" s="55"/>
      <c r="I168" s="56"/>
      <c r="J168" s="56"/>
      <c r="K168" s="56"/>
      <c r="L168" s="56"/>
    </row>
    <row r="169" spans="2:12" ht="14.25" customHeight="1" x14ac:dyDescent="0.25">
      <c r="B169" s="55"/>
      <c r="I169" s="56"/>
      <c r="J169" s="56"/>
      <c r="K169" s="56"/>
      <c r="L169" s="56"/>
    </row>
    <row r="170" spans="2:12" ht="14.25" customHeight="1" x14ac:dyDescent="0.25">
      <c r="B170" s="55"/>
      <c r="I170" s="56"/>
      <c r="J170" s="56"/>
      <c r="K170" s="56"/>
      <c r="L170" s="56"/>
    </row>
    <row r="171" spans="2:12" ht="14.25" customHeight="1" x14ac:dyDescent="0.25">
      <c r="B171" s="55"/>
      <c r="I171" s="56"/>
      <c r="J171" s="56"/>
      <c r="K171" s="56"/>
      <c r="L171" s="56"/>
    </row>
    <row r="172" spans="2:12" ht="14.25" customHeight="1" x14ac:dyDescent="0.25">
      <c r="B172" s="55"/>
      <c r="I172" s="56"/>
      <c r="J172" s="56"/>
      <c r="K172" s="56"/>
      <c r="L172" s="56"/>
    </row>
    <row r="173" spans="2:12" ht="14.25" customHeight="1" x14ac:dyDescent="0.25">
      <c r="B173" s="55"/>
      <c r="I173" s="56"/>
      <c r="J173" s="56"/>
      <c r="K173" s="56"/>
      <c r="L173" s="56"/>
    </row>
    <row r="174" spans="2:12" ht="14.25" customHeight="1" x14ac:dyDescent="0.25">
      <c r="B174" s="55"/>
      <c r="I174" s="56"/>
      <c r="J174" s="56"/>
      <c r="K174" s="56"/>
      <c r="L174" s="56"/>
    </row>
    <row r="175" spans="2:12" ht="14.25" customHeight="1" x14ac:dyDescent="0.25">
      <c r="B175" s="55"/>
      <c r="I175" s="56"/>
      <c r="J175" s="56"/>
      <c r="K175" s="56"/>
      <c r="L175" s="56"/>
    </row>
    <row r="176" spans="2:12" ht="14.25" customHeight="1" x14ac:dyDescent="0.25">
      <c r="B176" s="55"/>
      <c r="I176" s="56"/>
      <c r="J176" s="56"/>
      <c r="K176" s="56"/>
      <c r="L176" s="56"/>
    </row>
    <row r="177" spans="2:12" ht="14.25" customHeight="1" x14ac:dyDescent="0.25">
      <c r="B177" s="55"/>
      <c r="I177" s="56"/>
      <c r="J177" s="56"/>
      <c r="K177" s="56"/>
      <c r="L177" s="56"/>
    </row>
    <row r="178" spans="2:12" ht="14.25" customHeight="1" x14ac:dyDescent="0.25">
      <c r="B178" s="55"/>
      <c r="I178" s="56"/>
      <c r="J178" s="56"/>
      <c r="K178" s="56"/>
      <c r="L178" s="56"/>
    </row>
    <row r="179" spans="2:12" ht="14.25" customHeight="1" x14ac:dyDescent="0.25">
      <c r="B179" s="55"/>
      <c r="I179" s="56"/>
      <c r="J179" s="56"/>
      <c r="K179" s="56"/>
      <c r="L179" s="56"/>
    </row>
    <row r="180" spans="2:12" ht="14.25" customHeight="1" x14ac:dyDescent="0.25">
      <c r="B180" s="55"/>
      <c r="I180" s="56"/>
      <c r="J180" s="56"/>
      <c r="K180" s="56"/>
      <c r="L180" s="56"/>
    </row>
    <row r="181" spans="2:12" ht="14.25" customHeight="1" x14ac:dyDescent="0.25">
      <c r="B181" s="55"/>
      <c r="I181" s="56"/>
      <c r="J181" s="56"/>
      <c r="K181" s="56"/>
      <c r="L181" s="56"/>
    </row>
    <row r="182" spans="2:12" ht="14.25" customHeight="1" x14ac:dyDescent="0.25">
      <c r="B182" s="55"/>
      <c r="I182" s="56"/>
      <c r="J182" s="56"/>
      <c r="K182" s="56"/>
      <c r="L182" s="56"/>
    </row>
    <row r="183" spans="2:12" ht="14.25" customHeight="1" x14ac:dyDescent="0.25">
      <c r="B183" s="55"/>
      <c r="I183" s="56"/>
      <c r="J183" s="56"/>
      <c r="K183" s="56"/>
      <c r="L183" s="56"/>
    </row>
    <row r="184" spans="2:12" ht="14.25" customHeight="1" x14ac:dyDescent="0.25">
      <c r="B184" s="55"/>
      <c r="I184" s="56"/>
      <c r="J184" s="56"/>
      <c r="K184" s="56"/>
      <c r="L184" s="56"/>
    </row>
    <row r="185" spans="2:12" ht="14.25" customHeight="1" x14ac:dyDescent="0.25">
      <c r="B185" s="55"/>
      <c r="I185" s="56"/>
      <c r="J185" s="56"/>
      <c r="K185" s="56"/>
      <c r="L185" s="56"/>
    </row>
    <row r="186" spans="2:12" ht="14.25" customHeight="1" x14ac:dyDescent="0.25">
      <c r="B186" s="55"/>
      <c r="I186" s="56"/>
      <c r="J186" s="56"/>
      <c r="K186" s="56"/>
      <c r="L186" s="56"/>
    </row>
    <row r="187" spans="2:12" ht="14.25" customHeight="1" x14ac:dyDescent="0.25">
      <c r="B187" s="55"/>
      <c r="I187" s="56"/>
      <c r="J187" s="56"/>
      <c r="K187" s="56"/>
      <c r="L187" s="56"/>
    </row>
    <row r="188" spans="2:12" ht="14.25" customHeight="1" x14ac:dyDescent="0.25">
      <c r="B188" s="55"/>
      <c r="I188" s="56"/>
      <c r="J188" s="56"/>
      <c r="K188" s="56"/>
      <c r="L188" s="56"/>
    </row>
    <row r="189" spans="2:12" ht="14.25" customHeight="1" x14ac:dyDescent="0.25">
      <c r="B189" s="55"/>
      <c r="I189" s="56"/>
      <c r="J189" s="56"/>
      <c r="K189" s="56"/>
      <c r="L189" s="56"/>
    </row>
    <row r="190" spans="2:12" ht="14.25" customHeight="1" x14ac:dyDescent="0.25">
      <c r="B190" s="55"/>
      <c r="I190" s="56"/>
      <c r="J190" s="56"/>
      <c r="K190" s="56"/>
      <c r="L190" s="56"/>
    </row>
    <row r="191" spans="2:12" ht="14.25" customHeight="1" x14ac:dyDescent="0.25">
      <c r="B191" s="55"/>
      <c r="I191" s="56"/>
      <c r="J191" s="56"/>
      <c r="K191" s="56"/>
      <c r="L191" s="56"/>
    </row>
    <row r="192" spans="2:12" ht="14.25" customHeight="1" x14ac:dyDescent="0.25">
      <c r="B192" s="55"/>
      <c r="I192" s="56"/>
      <c r="J192" s="56"/>
      <c r="K192" s="56"/>
      <c r="L192" s="56"/>
    </row>
    <row r="193" spans="2:12" ht="14.25" customHeight="1" x14ac:dyDescent="0.25">
      <c r="B193" s="55"/>
      <c r="I193" s="56"/>
      <c r="J193" s="56"/>
      <c r="K193" s="56"/>
      <c r="L193" s="56"/>
    </row>
    <row r="194" spans="2:12" ht="14.25" customHeight="1" x14ac:dyDescent="0.25">
      <c r="B194" s="55"/>
      <c r="I194" s="56"/>
      <c r="J194" s="56"/>
      <c r="K194" s="56"/>
      <c r="L194" s="56"/>
    </row>
    <row r="195" spans="2:12" ht="14.25" customHeight="1" x14ac:dyDescent="0.25">
      <c r="B195" s="55"/>
      <c r="I195" s="56"/>
      <c r="J195" s="56"/>
      <c r="K195" s="56"/>
      <c r="L195" s="56"/>
    </row>
    <row r="196" spans="2:12" ht="14.25" customHeight="1" x14ac:dyDescent="0.25">
      <c r="B196" s="55"/>
      <c r="I196" s="56"/>
      <c r="J196" s="56"/>
      <c r="K196" s="56"/>
      <c r="L196" s="56"/>
    </row>
    <row r="197" spans="2:12" ht="14.25" customHeight="1" x14ac:dyDescent="0.25">
      <c r="B197" s="55"/>
      <c r="I197" s="56"/>
      <c r="J197" s="56"/>
      <c r="K197" s="56"/>
      <c r="L197" s="56"/>
    </row>
    <row r="198" spans="2:12" ht="14.25" customHeight="1" x14ac:dyDescent="0.25">
      <c r="B198" s="55"/>
      <c r="I198" s="56"/>
      <c r="J198" s="56"/>
      <c r="K198" s="56"/>
      <c r="L198" s="56"/>
    </row>
    <row r="199" spans="2:12" ht="14.25" customHeight="1" x14ac:dyDescent="0.25">
      <c r="B199" s="55"/>
      <c r="I199" s="56"/>
      <c r="J199" s="56"/>
      <c r="K199" s="56"/>
      <c r="L199" s="56"/>
    </row>
    <row r="200" spans="2:12" ht="14.25" customHeight="1" x14ac:dyDescent="0.25">
      <c r="B200" s="55"/>
      <c r="I200" s="56"/>
      <c r="J200" s="56"/>
      <c r="K200" s="56"/>
      <c r="L200" s="56"/>
    </row>
    <row r="201" spans="2:12" ht="14.25" customHeight="1" x14ac:dyDescent="0.25">
      <c r="B201" s="55"/>
      <c r="I201" s="56"/>
      <c r="J201" s="56"/>
      <c r="K201" s="56"/>
      <c r="L201" s="56"/>
    </row>
    <row r="202" spans="2:12" ht="14.25" customHeight="1" x14ac:dyDescent="0.25">
      <c r="B202" s="55"/>
      <c r="I202" s="56"/>
      <c r="J202" s="56"/>
      <c r="K202" s="56"/>
      <c r="L202" s="56"/>
    </row>
    <row r="203" spans="2:12" ht="14.25" customHeight="1" x14ac:dyDescent="0.25">
      <c r="B203" s="55"/>
      <c r="I203" s="56"/>
      <c r="J203" s="56"/>
      <c r="K203" s="56"/>
      <c r="L203" s="56"/>
    </row>
    <row r="204" spans="2:12" ht="14.25" customHeight="1" x14ac:dyDescent="0.25">
      <c r="B204" s="55"/>
      <c r="I204" s="56"/>
      <c r="J204" s="56"/>
      <c r="K204" s="56"/>
      <c r="L204" s="56"/>
    </row>
    <row r="205" spans="2:12" ht="14.25" customHeight="1" x14ac:dyDescent="0.25">
      <c r="B205" s="55"/>
      <c r="I205" s="56"/>
      <c r="J205" s="56"/>
      <c r="K205" s="56"/>
      <c r="L205" s="56"/>
    </row>
    <row r="206" spans="2:12" ht="14.25" customHeight="1" x14ac:dyDescent="0.25">
      <c r="B206" s="55"/>
      <c r="I206" s="56"/>
      <c r="J206" s="56"/>
      <c r="K206" s="56"/>
      <c r="L206" s="56"/>
    </row>
    <row r="207" spans="2:12" ht="14.25" customHeight="1" x14ac:dyDescent="0.25">
      <c r="B207" s="55"/>
      <c r="I207" s="56"/>
      <c r="J207" s="56"/>
      <c r="K207" s="56"/>
      <c r="L207" s="56"/>
    </row>
    <row r="208" spans="2:12" ht="14.25" customHeight="1" x14ac:dyDescent="0.25">
      <c r="B208" s="55"/>
      <c r="I208" s="56"/>
      <c r="J208" s="56"/>
      <c r="K208" s="56"/>
      <c r="L208" s="56"/>
    </row>
    <row r="209" spans="2:12" ht="14.25" customHeight="1" x14ac:dyDescent="0.25">
      <c r="B209" s="55"/>
      <c r="I209" s="56"/>
      <c r="J209" s="56"/>
      <c r="K209" s="56"/>
      <c r="L209" s="56"/>
    </row>
    <row r="210" spans="2:12" ht="14.25" customHeight="1" x14ac:dyDescent="0.25">
      <c r="B210" s="55"/>
      <c r="I210" s="56"/>
      <c r="J210" s="56"/>
      <c r="K210" s="56"/>
      <c r="L210" s="56"/>
    </row>
    <row r="211" spans="2:12" ht="14.25" customHeight="1" x14ac:dyDescent="0.25">
      <c r="B211" s="55"/>
      <c r="I211" s="56"/>
      <c r="J211" s="56"/>
      <c r="K211" s="56"/>
      <c r="L211" s="56"/>
    </row>
    <row r="212" spans="2:12" ht="14.25" customHeight="1" x14ac:dyDescent="0.25">
      <c r="B212" s="55"/>
      <c r="I212" s="56"/>
      <c r="J212" s="56"/>
      <c r="K212" s="56"/>
      <c r="L212" s="56"/>
    </row>
    <row r="213" spans="2:12" ht="14.25" customHeight="1" x14ac:dyDescent="0.25">
      <c r="B213" s="55"/>
      <c r="I213" s="56"/>
      <c r="J213" s="56"/>
      <c r="K213" s="56"/>
      <c r="L213" s="56"/>
    </row>
    <row r="214" spans="2:12" ht="14.25" customHeight="1" x14ac:dyDescent="0.25">
      <c r="B214" s="55"/>
      <c r="I214" s="56"/>
      <c r="J214" s="56"/>
      <c r="K214" s="56"/>
      <c r="L214" s="56"/>
    </row>
    <row r="215" spans="2:12" ht="14.25" customHeight="1" x14ac:dyDescent="0.25">
      <c r="B215" s="55"/>
      <c r="I215" s="56"/>
      <c r="J215" s="56"/>
      <c r="K215" s="56"/>
      <c r="L215" s="56"/>
    </row>
    <row r="216" spans="2:12" ht="14.25" customHeight="1" x14ac:dyDescent="0.25">
      <c r="B216" s="55"/>
      <c r="I216" s="56"/>
      <c r="J216" s="56"/>
      <c r="K216" s="56"/>
      <c r="L216" s="56"/>
    </row>
    <row r="217" spans="2:12" ht="14.25" customHeight="1" x14ac:dyDescent="0.25">
      <c r="B217" s="55"/>
      <c r="I217" s="56"/>
      <c r="J217" s="56"/>
      <c r="K217" s="56"/>
      <c r="L217" s="56"/>
    </row>
    <row r="218" spans="2:12" ht="14.25" customHeight="1" x14ac:dyDescent="0.25">
      <c r="B218" s="55"/>
      <c r="I218" s="56"/>
      <c r="J218" s="56"/>
      <c r="K218" s="56"/>
      <c r="L218" s="56"/>
    </row>
    <row r="219" spans="2:12" ht="14.25" customHeight="1" x14ac:dyDescent="0.25">
      <c r="B219" s="55"/>
      <c r="I219" s="56"/>
      <c r="J219" s="56"/>
      <c r="K219" s="56"/>
      <c r="L219" s="56"/>
    </row>
    <row r="220" spans="2:12" ht="14.25" customHeight="1" x14ac:dyDescent="0.25">
      <c r="B220" s="55"/>
      <c r="I220" s="56"/>
      <c r="J220" s="56"/>
      <c r="K220" s="56"/>
      <c r="L220" s="56"/>
    </row>
    <row r="221" spans="2:12" ht="14.25" customHeight="1" x14ac:dyDescent="0.25">
      <c r="B221" s="55"/>
      <c r="I221" s="56"/>
      <c r="J221" s="56"/>
      <c r="K221" s="56"/>
      <c r="L221" s="56"/>
    </row>
    <row r="222" spans="2:12" ht="14.25" customHeight="1" x14ac:dyDescent="0.25">
      <c r="B222" s="55"/>
      <c r="I222" s="56"/>
      <c r="J222" s="56"/>
      <c r="K222" s="56"/>
      <c r="L222" s="56"/>
    </row>
    <row r="223" spans="2:12" ht="14.25" customHeight="1" x14ac:dyDescent="0.25">
      <c r="B223" s="55"/>
      <c r="I223" s="56"/>
      <c r="J223" s="56"/>
      <c r="K223" s="56"/>
      <c r="L223" s="56"/>
    </row>
    <row r="224" spans="2:12" ht="14.25" customHeight="1" x14ac:dyDescent="0.25">
      <c r="B224" s="55"/>
      <c r="I224" s="56"/>
      <c r="J224" s="56"/>
      <c r="K224" s="56"/>
      <c r="L224" s="56"/>
    </row>
    <row r="225" spans="2:12" ht="14.25" customHeight="1" x14ac:dyDescent="0.25">
      <c r="B225" s="55"/>
      <c r="I225" s="56"/>
      <c r="J225" s="56"/>
      <c r="K225" s="56"/>
      <c r="L225" s="56"/>
    </row>
    <row r="226" spans="2:12" ht="14.25" customHeight="1" x14ac:dyDescent="0.25">
      <c r="B226" s="55"/>
      <c r="I226" s="56"/>
      <c r="J226" s="56"/>
      <c r="K226" s="56"/>
      <c r="L226" s="56"/>
    </row>
    <row r="227" spans="2:12" ht="14.25" customHeight="1" x14ac:dyDescent="0.25">
      <c r="B227" s="55"/>
      <c r="I227" s="56"/>
      <c r="J227" s="56"/>
      <c r="K227" s="56"/>
      <c r="L227" s="56"/>
    </row>
    <row r="228" spans="2:12" ht="14.25" customHeight="1" x14ac:dyDescent="0.25">
      <c r="B228" s="55"/>
      <c r="I228" s="56"/>
      <c r="J228" s="56"/>
      <c r="K228" s="56"/>
      <c r="L228" s="56"/>
    </row>
    <row r="229" spans="2:12" ht="14.25" customHeight="1" x14ac:dyDescent="0.25">
      <c r="B229" s="55"/>
      <c r="I229" s="56"/>
      <c r="J229" s="56"/>
      <c r="K229" s="56"/>
      <c r="L229" s="56"/>
    </row>
    <row r="230" spans="2:12" ht="14.25" customHeight="1" x14ac:dyDescent="0.25">
      <c r="B230" s="55"/>
      <c r="I230" s="56"/>
      <c r="J230" s="56"/>
      <c r="K230" s="56"/>
      <c r="L230" s="56"/>
    </row>
    <row r="231" spans="2:12" ht="14.25" customHeight="1" x14ac:dyDescent="0.25">
      <c r="B231" s="55"/>
      <c r="I231" s="56"/>
      <c r="J231" s="56"/>
      <c r="K231" s="56"/>
      <c r="L231" s="56"/>
    </row>
    <row r="232" spans="2:12" ht="14.25" customHeight="1" x14ac:dyDescent="0.25">
      <c r="B232" s="55"/>
      <c r="I232" s="56"/>
      <c r="J232" s="56"/>
      <c r="K232" s="56"/>
      <c r="L232" s="56"/>
    </row>
    <row r="233" spans="2:12" ht="14.25" customHeight="1" x14ac:dyDescent="0.25">
      <c r="B233" s="55"/>
      <c r="I233" s="56"/>
      <c r="J233" s="56"/>
      <c r="K233" s="56"/>
      <c r="L233" s="56"/>
    </row>
    <row r="234" spans="2:12" ht="14.25" customHeight="1" x14ac:dyDescent="0.25">
      <c r="B234" s="55"/>
      <c r="I234" s="56"/>
      <c r="J234" s="56"/>
      <c r="K234" s="56"/>
      <c r="L234" s="56"/>
    </row>
    <row r="235" spans="2:12" ht="14.25" customHeight="1" x14ac:dyDescent="0.25">
      <c r="B235" s="55"/>
      <c r="I235" s="56"/>
      <c r="J235" s="56"/>
      <c r="K235" s="56"/>
      <c r="L235" s="56"/>
    </row>
    <row r="236" spans="2:12" ht="14.25" customHeight="1" x14ac:dyDescent="0.25">
      <c r="B236" s="55"/>
      <c r="I236" s="56"/>
      <c r="J236" s="56"/>
      <c r="K236" s="56"/>
      <c r="L236" s="56"/>
    </row>
    <row r="237" spans="2:12" ht="14.25" customHeight="1" x14ac:dyDescent="0.25">
      <c r="B237" s="55"/>
      <c r="I237" s="56"/>
      <c r="J237" s="56"/>
      <c r="K237" s="56"/>
      <c r="L237" s="56"/>
    </row>
    <row r="238" spans="2:12" ht="14.25" customHeight="1" x14ac:dyDescent="0.25">
      <c r="B238" s="55"/>
      <c r="I238" s="56"/>
      <c r="J238" s="56"/>
      <c r="K238" s="56"/>
      <c r="L238" s="56"/>
    </row>
    <row r="239" spans="2:12" ht="14.25" customHeight="1" x14ac:dyDescent="0.25">
      <c r="B239" s="55"/>
      <c r="I239" s="56"/>
      <c r="J239" s="56"/>
      <c r="K239" s="56"/>
      <c r="L239" s="56"/>
    </row>
    <row r="240" spans="2:12" ht="14.25" customHeight="1" x14ac:dyDescent="0.25">
      <c r="B240" s="55"/>
      <c r="I240" s="56"/>
      <c r="J240" s="56"/>
      <c r="K240" s="56"/>
      <c r="L240" s="56"/>
    </row>
    <row r="241" spans="2:12" ht="14.25" customHeight="1" x14ac:dyDescent="0.25">
      <c r="B241" s="55"/>
      <c r="I241" s="56"/>
      <c r="J241" s="56"/>
      <c r="K241" s="56"/>
      <c r="L241" s="56"/>
    </row>
    <row r="242" spans="2:12" ht="14.25" customHeight="1" x14ac:dyDescent="0.25">
      <c r="B242" s="55"/>
      <c r="I242" s="56"/>
      <c r="J242" s="56"/>
      <c r="K242" s="56"/>
      <c r="L242" s="56"/>
    </row>
    <row r="243" spans="2:12" ht="14.25" customHeight="1" x14ac:dyDescent="0.25">
      <c r="B243" s="55"/>
      <c r="I243" s="56"/>
      <c r="J243" s="56"/>
      <c r="K243" s="56"/>
      <c r="L243" s="56"/>
    </row>
    <row r="244" spans="2:12" ht="14.25" customHeight="1" x14ac:dyDescent="0.25">
      <c r="B244" s="55"/>
      <c r="I244" s="56"/>
      <c r="J244" s="56"/>
      <c r="K244" s="56"/>
      <c r="L244" s="56"/>
    </row>
    <row r="245" spans="2:12" ht="14.25" customHeight="1" x14ac:dyDescent="0.25">
      <c r="B245" s="55"/>
      <c r="I245" s="56"/>
      <c r="J245" s="56"/>
      <c r="K245" s="56"/>
      <c r="L245" s="56"/>
    </row>
    <row r="246" spans="2:12" ht="14.25" customHeight="1" x14ac:dyDescent="0.25">
      <c r="B246" s="55"/>
      <c r="I246" s="56"/>
      <c r="J246" s="56"/>
      <c r="K246" s="56"/>
      <c r="L246" s="56"/>
    </row>
    <row r="247" spans="2:12" ht="14.25" customHeight="1" x14ac:dyDescent="0.25">
      <c r="B247" s="55"/>
      <c r="I247" s="56"/>
      <c r="J247" s="56"/>
      <c r="K247" s="56"/>
      <c r="L247" s="56"/>
    </row>
    <row r="248" spans="2:12" ht="14.25" customHeight="1" x14ac:dyDescent="0.25">
      <c r="B248" s="55"/>
      <c r="I248" s="56"/>
      <c r="J248" s="56"/>
      <c r="K248" s="56"/>
      <c r="L248" s="56"/>
    </row>
    <row r="249" spans="2:12" ht="14.25" customHeight="1" x14ac:dyDescent="0.25">
      <c r="B249" s="55"/>
      <c r="I249" s="56"/>
      <c r="J249" s="56"/>
      <c r="K249" s="56"/>
      <c r="L249" s="56"/>
    </row>
    <row r="250" spans="2:12" ht="14.25" customHeight="1" x14ac:dyDescent="0.25">
      <c r="B250" s="55"/>
      <c r="I250" s="56"/>
      <c r="J250" s="56"/>
      <c r="K250" s="56"/>
      <c r="L250" s="56"/>
    </row>
    <row r="251" spans="2:12" ht="14.25" customHeight="1" x14ac:dyDescent="0.25">
      <c r="B251" s="55"/>
      <c r="I251" s="56"/>
      <c r="J251" s="56"/>
      <c r="K251" s="56"/>
      <c r="L251" s="56"/>
    </row>
    <row r="252" spans="2:12" ht="14.25" customHeight="1" x14ac:dyDescent="0.25">
      <c r="B252" s="55"/>
      <c r="I252" s="56"/>
      <c r="J252" s="56"/>
      <c r="K252" s="56"/>
      <c r="L252" s="56"/>
    </row>
    <row r="253" spans="2:12" ht="14.25" customHeight="1" x14ac:dyDescent="0.25">
      <c r="B253" s="55"/>
      <c r="I253" s="56"/>
      <c r="J253" s="56"/>
      <c r="K253" s="56"/>
      <c r="L253" s="56"/>
    </row>
    <row r="254" spans="2:12" ht="14.25" customHeight="1" x14ac:dyDescent="0.25">
      <c r="B254" s="55"/>
      <c r="I254" s="56"/>
      <c r="J254" s="56"/>
      <c r="K254" s="56"/>
      <c r="L254" s="56"/>
    </row>
    <row r="255" spans="2:12" ht="14.25" customHeight="1" x14ac:dyDescent="0.25">
      <c r="B255" s="55"/>
      <c r="I255" s="56"/>
      <c r="J255" s="56"/>
      <c r="K255" s="56"/>
      <c r="L255" s="56"/>
    </row>
    <row r="256" spans="2:12" ht="14.25" customHeight="1" x14ac:dyDescent="0.25">
      <c r="B256" s="55"/>
      <c r="I256" s="56"/>
      <c r="J256" s="56"/>
      <c r="K256" s="56"/>
      <c r="L256" s="56"/>
    </row>
    <row r="257" spans="2:12" ht="14.25" customHeight="1" x14ac:dyDescent="0.25">
      <c r="B257" s="55"/>
      <c r="I257" s="56"/>
      <c r="J257" s="56"/>
      <c r="K257" s="56"/>
      <c r="L257" s="56"/>
    </row>
    <row r="258" spans="2:12" ht="14.25" customHeight="1" x14ac:dyDescent="0.25">
      <c r="B258" s="55"/>
      <c r="I258" s="56"/>
      <c r="J258" s="56"/>
      <c r="K258" s="56"/>
      <c r="L258" s="56"/>
    </row>
    <row r="259" spans="2:12" ht="14.25" customHeight="1" x14ac:dyDescent="0.25">
      <c r="B259" s="55"/>
      <c r="I259" s="56"/>
      <c r="J259" s="56"/>
      <c r="K259" s="56"/>
      <c r="L259" s="56"/>
    </row>
    <row r="260" spans="2:12" ht="14.25" customHeight="1" x14ac:dyDescent="0.25">
      <c r="B260" s="55"/>
      <c r="I260" s="56"/>
      <c r="J260" s="56"/>
      <c r="K260" s="56"/>
      <c r="L260" s="56"/>
    </row>
    <row r="261" spans="2:12" ht="14.25" customHeight="1" x14ac:dyDescent="0.25">
      <c r="B261" s="55"/>
      <c r="I261" s="56"/>
      <c r="J261" s="56"/>
      <c r="K261" s="56"/>
      <c r="L261" s="56"/>
    </row>
    <row r="262" spans="2:12" ht="14.25" customHeight="1" x14ac:dyDescent="0.25">
      <c r="B262" s="55"/>
      <c r="I262" s="56"/>
      <c r="J262" s="56"/>
      <c r="K262" s="56"/>
      <c r="L262" s="56"/>
    </row>
    <row r="263" spans="2:12" ht="14.25" customHeight="1" x14ac:dyDescent="0.25">
      <c r="B263" s="55"/>
      <c r="I263" s="56"/>
      <c r="J263" s="56"/>
      <c r="K263" s="56"/>
      <c r="L263" s="56"/>
    </row>
    <row r="264" spans="2:12" ht="14.25" customHeight="1" x14ac:dyDescent="0.25">
      <c r="B264" s="55"/>
      <c r="I264" s="56"/>
      <c r="J264" s="56"/>
      <c r="K264" s="56"/>
      <c r="L264" s="56"/>
    </row>
    <row r="265" spans="2:12" ht="14.25" customHeight="1" x14ac:dyDescent="0.25">
      <c r="B265" s="55"/>
      <c r="I265" s="56"/>
      <c r="J265" s="56"/>
      <c r="K265" s="56"/>
      <c r="L265" s="56"/>
    </row>
    <row r="266" spans="2:12" ht="14.25" customHeight="1" x14ac:dyDescent="0.25">
      <c r="B266" s="55"/>
      <c r="I266" s="56"/>
      <c r="J266" s="56"/>
      <c r="K266" s="56"/>
      <c r="L266" s="56"/>
    </row>
    <row r="267" spans="2:12" ht="14.25" customHeight="1" x14ac:dyDescent="0.25">
      <c r="B267" s="55"/>
      <c r="I267" s="56"/>
      <c r="J267" s="56"/>
      <c r="K267" s="56"/>
      <c r="L267" s="56"/>
    </row>
    <row r="268" spans="2:12" ht="14.25" customHeight="1" x14ac:dyDescent="0.25">
      <c r="B268" s="55"/>
      <c r="I268" s="56"/>
      <c r="J268" s="56"/>
      <c r="K268" s="56"/>
      <c r="L268" s="56"/>
    </row>
    <row r="269" spans="2:12" ht="14.25" customHeight="1" x14ac:dyDescent="0.25">
      <c r="B269" s="55"/>
      <c r="I269" s="56"/>
      <c r="J269" s="56"/>
      <c r="K269" s="56"/>
      <c r="L269" s="56"/>
    </row>
    <row r="270" spans="2:12" ht="14.25" customHeight="1" x14ac:dyDescent="0.25">
      <c r="B270" s="55"/>
      <c r="I270" s="56"/>
      <c r="J270" s="56"/>
      <c r="K270" s="56"/>
      <c r="L270" s="56"/>
    </row>
    <row r="271" spans="2:12" ht="14.25" customHeight="1" x14ac:dyDescent="0.25">
      <c r="B271" s="55"/>
      <c r="I271" s="56"/>
      <c r="J271" s="56"/>
      <c r="K271" s="56"/>
      <c r="L271" s="56"/>
    </row>
    <row r="272" spans="2:12" ht="14.25" customHeight="1" x14ac:dyDescent="0.25">
      <c r="B272" s="55"/>
      <c r="I272" s="56"/>
      <c r="J272" s="56"/>
      <c r="K272" s="56"/>
      <c r="L272" s="56"/>
    </row>
    <row r="273" spans="2:12" ht="14.25" customHeight="1" x14ac:dyDescent="0.25">
      <c r="B273" s="55"/>
      <c r="I273" s="56"/>
      <c r="J273" s="56"/>
      <c r="K273" s="56"/>
      <c r="L273" s="56"/>
    </row>
    <row r="274" spans="2:12" ht="14.25" customHeight="1" x14ac:dyDescent="0.25">
      <c r="B274" s="55"/>
      <c r="I274" s="56"/>
      <c r="J274" s="56"/>
      <c r="K274" s="56"/>
      <c r="L274" s="56"/>
    </row>
    <row r="275" spans="2:12" ht="14.25" customHeight="1" x14ac:dyDescent="0.25">
      <c r="B275" s="55"/>
      <c r="I275" s="56"/>
      <c r="J275" s="56"/>
      <c r="K275" s="56"/>
      <c r="L275" s="56"/>
    </row>
    <row r="276" spans="2:12" ht="14.25" customHeight="1" x14ac:dyDescent="0.25">
      <c r="B276" s="55"/>
      <c r="I276" s="56"/>
      <c r="J276" s="56"/>
      <c r="K276" s="56"/>
      <c r="L276" s="56"/>
    </row>
    <row r="277" spans="2:12" ht="14.25" customHeight="1" x14ac:dyDescent="0.25">
      <c r="B277" s="55"/>
      <c r="I277" s="56"/>
      <c r="J277" s="56"/>
      <c r="K277" s="56"/>
      <c r="L277" s="56"/>
    </row>
    <row r="278" spans="2:12" ht="14.25" customHeight="1" x14ac:dyDescent="0.25">
      <c r="B278" s="55"/>
      <c r="I278" s="56"/>
      <c r="J278" s="56"/>
      <c r="K278" s="56"/>
      <c r="L278" s="56"/>
    </row>
    <row r="279" spans="2:12" ht="14.25" customHeight="1" x14ac:dyDescent="0.25">
      <c r="B279" s="55"/>
      <c r="I279" s="56"/>
      <c r="J279" s="56"/>
      <c r="K279" s="56"/>
      <c r="L279" s="56"/>
    </row>
    <row r="280" spans="2:12" ht="14.25" customHeight="1" x14ac:dyDescent="0.25">
      <c r="B280" s="55"/>
      <c r="I280" s="56"/>
      <c r="J280" s="56"/>
      <c r="K280" s="56"/>
      <c r="L280" s="56"/>
    </row>
    <row r="281" spans="2:12" ht="14.25" customHeight="1" x14ac:dyDescent="0.25">
      <c r="B281" s="55"/>
      <c r="I281" s="56"/>
      <c r="J281" s="56"/>
      <c r="K281" s="56"/>
      <c r="L281" s="56"/>
    </row>
    <row r="282" spans="2:12" ht="14.25" customHeight="1" x14ac:dyDescent="0.25">
      <c r="B282" s="55"/>
      <c r="I282" s="56"/>
      <c r="J282" s="56"/>
      <c r="K282" s="56"/>
      <c r="L282" s="56"/>
    </row>
    <row r="283" spans="2:12" ht="14.25" customHeight="1" x14ac:dyDescent="0.25">
      <c r="B283" s="55"/>
      <c r="I283" s="56"/>
      <c r="J283" s="56"/>
      <c r="K283" s="56"/>
      <c r="L283" s="56"/>
    </row>
    <row r="284" spans="2:12" ht="14.25" customHeight="1" x14ac:dyDescent="0.25">
      <c r="B284" s="55"/>
      <c r="I284" s="56"/>
      <c r="J284" s="56"/>
      <c r="K284" s="56"/>
      <c r="L284" s="56"/>
    </row>
    <row r="285" spans="2:12" ht="14.25" customHeight="1" x14ac:dyDescent="0.25">
      <c r="B285" s="55"/>
      <c r="I285" s="56"/>
      <c r="J285" s="56"/>
      <c r="K285" s="56"/>
      <c r="L285" s="56"/>
    </row>
    <row r="286" spans="2:12" ht="14.25" customHeight="1" x14ac:dyDescent="0.25">
      <c r="B286" s="55"/>
      <c r="I286" s="56"/>
      <c r="J286" s="56"/>
      <c r="K286" s="56"/>
      <c r="L286" s="56"/>
    </row>
    <row r="287" spans="2:12" ht="14.25" customHeight="1" x14ac:dyDescent="0.25">
      <c r="B287" s="55"/>
      <c r="I287" s="56"/>
      <c r="J287" s="56"/>
      <c r="K287" s="56"/>
      <c r="L287" s="56"/>
    </row>
    <row r="288" spans="2:12" ht="14.25" customHeight="1" x14ac:dyDescent="0.25">
      <c r="B288" s="55"/>
      <c r="I288" s="56"/>
      <c r="J288" s="56"/>
      <c r="K288" s="56"/>
      <c r="L288" s="56"/>
    </row>
    <row r="289" spans="2:12" ht="14.25" customHeight="1" x14ac:dyDescent="0.25">
      <c r="B289" s="55"/>
      <c r="I289" s="56"/>
      <c r="J289" s="56"/>
      <c r="K289" s="56"/>
      <c r="L289" s="56"/>
    </row>
    <row r="290" spans="2:12" ht="14.25" customHeight="1" x14ac:dyDescent="0.25">
      <c r="B290" s="55"/>
      <c r="I290" s="56"/>
      <c r="J290" s="56"/>
      <c r="K290" s="56"/>
      <c r="L290" s="56"/>
    </row>
    <row r="291" spans="2:12" ht="14.25" customHeight="1" x14ac:dyDescent="0.25">
      <c r="B291" s="55"/>
      <c r="I291" s="56"/>
      <c r="J291" s="56"/>
      <c r="K291" s="56"/>
      <c r="L291" s="56"/>
    </row>
    <row r="292" spans="2:12" ht="14.25" customHeight="1" x14ac:dyDescent="0.25">
      <c r="B292" s="55"/>
      <c r="I292" s="56"/>
      <c r="J292" s="56"/>
      <c r="K292" s="56"/>
      <c r="L292" s="56"/>
    </row>
    <row r="293" spans="2:12" ht="14.25" customHeight="1" x14ac:dyDescent="0.25">
      <c r="B293" s="55"/>
      <c r="I293" s="56"/>
      <c r="J293" s="56"/>
      <c r="K293" s="56"/>
      <c r="L293" s="56"/>
    </row>
    <row r="294" spans="2:12" ht="14.25" customHeight="1" x14ac:dyDescent="0.25">
      <c r="B294" s="55"/>
      <c r="I294" s="56"/>
      <c r="J294" s="56"/>
      <c r="K294" s="56"/>
      <c r="L294" s="56"/>
    </row>
    <row r="295" spans="2:12" ht="14.25" customHeight="1" x14ac:dyDescent="0.25">
      <c r="B295" s="55"/>
      <c r="I295" s="56"/>
      <c r="J295" s="56"/>
      <c r="K295" s="56"/>
      <c r="L295" s="56"/>
    </row>
    <row r="296" spans="2:12" ht="14.25" customHeight="1" x14ac:dyDescent="0.25">
      <c r="B296" s="55"/>
      <c r="I296" s="56"/>
      <c r="J296" s="56"/>
      <c r="K296" s="56"/>
      <c r="L296" s="56"/>
    </row>
    <row r="297" spans="2:12" ht="14.25" customHeight="1" x14ac:dyDescent="0.25">
      <c r="B297" s="55"/>
      <c r="I297" s="56"/>
      <c r="J297" s="56"/>
      <c r="K297" s="56"/>
      <c r="L297" s="56"/>
    </row>
    <row r="298" spans="2:12" ht="14.25" customHeight="1" x14ac:dyDescent="0.25">
      <c r="B298" s="55"/>
      <c r="I298" s="56"/>
      <c r="J298" s="56"/>
      <c r="K298" s="56"/>
      <c r="L298" s="56"/>
    </row>
    <row r="299" spans="2:12" ht="14.25" customHeight="1" x14ac:dyDescent="0.25">
      <c r="B299" s="55"/>
      <c r="I299" s="56"/>
      <c r="J299" s="56"/>
      <c r="K299" s="56"/>
      <c r="L299" s="56"/>
    </row>
    <row r="300" spans="2:12" ht="14.25" customHeight="1" x14ac:dyDescent="0.25">
      <c r="B300" s="55"/>
      <c r="I300" s="56"/>
      <c r="J300" s="56"/>
      <c r="K300" s="56"/>
      <c r="L300" s="56"/>
    </row>
    <row r="301" spans="2:12" ht="14.25" customHeight="1" x14ac:dyDescent="0.25">
      <c r="B301" s="55"/>
      <c r="I301" s="56"/>
      <c r="J301" s="56"/>
      <c r="K301" s="56"/>
      <c r="L301" s="56"/>
    </row>
    <row r="302" spans="2:12" ht="14.25" customHeight="1" x14ac:dyDescent="0.25">
      <c r="B302" s="55"/>
      <c r="I302" s="56"/>
      <c r="J302" s="56"/>
      <c r="K302" s="56"/>
      <c r="L302" s="56"/>
    </row>
    <row r="303" spans="2:12" ht="14.25" customHeight="1" x14ac:dyDescent="0.25">
      <c r="B303" s="55"/>
      <c r="I303" s="56"/>
      <c r="J303" s="56"/>
      <c r="K303" s="56"/>
      <c r="L303" s="56"/>
    </row>
    <row r="304" spans="2:12" ht="14.25" customHeight="1" x14ac:dyDescent="0.25">
      <c r="B304" s="55"/>
      <c r="I304" s="56"/>
      <c r="J304" s="56"/>
      <c r="K304" s="56"/>
      <c r="L304" s="56"/>
    </row>
    <row r="305" spans="2:12" ht="14.25" customHeight="1" x14ac:dyDescent="0.25">
      <c r="B305" s="55"/>
      <c r="I305" s="56"/>
      <c r="J305" s="56"/>
      <c r="K305" s="56"/>
      <c r="L305" s="56"/>
    </row>
    <row r="306" spans="2:12" ht="14.25" customHeight="1" x14ac:dyDescent="0.25">
      <c r="B306" s="55"/>
      <c r="I306" s="56"/>
      <c r="J306" s="56"/>
      <c r="K306" s="56"/>
      <c r="L306" s="56"/>
    </row>
    <row r="307" spans="2:12" ht="14.25" customHeight="1" x14ac:dyDescent="0.25">
      <c r="B307" s="55"/>
      <c r="I307" s="56"/>
      <c r="J307" s="56"/>
      <c r="K307" s="56"/>
      <c r="L307" s="56"/>
    </row>
    <row r="308" spans="2:12" ht="14.25" customHeight="1" x14ac:dyDescent="0.25">
      <c r="B308" s="55"/>
      <c r="I308" s="56"/>
      <c r="J308" s="56"/>
      <c r="K308" s="56"/>
      <c r="L308" s="56"/>
    </row>
    <row r="309" spans="2:12" ht="14.25" customHeight="1" x14ac:dyDescent="0.25">
      <c r="B309" s="55"/>
      <c r="I309" s="56"/>
      <c r="J309" s="56"/>
      <c r="K309" s="56"/>
      <c r="L309" s="56"/>
    </row>
    <row r="310" spans="2:12" ht="14.25" customHeight="1" x14ac:dyDescent="0.25">
      <c r="B310" s="55"/>
      <c r="I310" s="56"/>
      <c r="J310" s="56"/>
      <c r="K310" s="56"/>
      <c r="L310" s="56"/>
    </row>
    <row r="311" spans="2:12" ht="14.25" customHeight="1" x14ac:dyDescent="0.25"/>
    <row r="312" spans="2:12" ht="14.25" customHeight="1" x14ac:dyDescent="0.25"/>
    <row r="313" spans="2:12" ht="14.25" customHeight="1" x14ac:dyDescent="0.25"/>
    <row r="314" spans="2:12" ht="14.25" customHeight="1" x14ac:dyDescent="0.25"/>
    <row r="315" spans="2:12" ht="14.25" customHeight="1" x14ac:dyDescent="0.25"/>
    <row r="316" spans="2:12" ht="14.25" customHeight="1" x14ac:dyDescent="0.25"/>
    <row r="317" spans="2:12" ht="14.25" customHeight="1" x14ac:dyDescent="0.25"/>
    <row r="318" spans="2:12" ht="14.25" customHeight="1" x14ac:dyDescent="0.25"/>
    <row r="319" spans="2:12" ht="14.25" customHeight="1" x14ac:dyDescent="0.25"/>
    <row r="320" spans="2:12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</sheetData>
  <customSheetViews>
    <customSheetView guid="{481A2CBD-9B07-47CD-9FC6-C0BEB5DC004E}" filter="1" showAutoFilter="1">
      <pageMargins left="0.7" right="0.7" top="0.75" bottom="0.75" header="0.3" footer="0.3"/>
      <autoFilter ref="B1:X69" xr:uid="{CAF66340-4F05-45DB-BA70-69301B6730C4}"/>
    </customSheetView>
  </customSheetView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CEB0B-BBFC-43F5-8D80-8EF9A4A0DFE4}">
  <dimension ref="A1:I7"/>
  <sheetViews>
    <sheetView workbookViewId="0">
      <selection activeCell="E5" sqref="E5"/>
    </sheetView>
  </sheetViews>
  <sheetFormatPr baseColWidth="10" defaultRowHeight="15" x14ac:dyDescent="0.25"/>
  <cols>
    <col min="1" max="1" width="3" bestFit="1" customWidth="1"/>
    <col min="4" max="4" width="7" bestFit="1" customWidth="1"/>
  </cols>
  <sheetData>
    <row r="1" spans="1:9" x14ac:dyDescent="0.25">
      <c r="B1" s="8" t="s">
        <v>149</v>
      </c>
      <c r="C1" t="s">
        <v>16</v>
      </c>
      <c r="D1" t="s">
        <v>151</v>
      </c>
      <c r="F1" t="s">
        <v>152</v>
      </c>
      <c r="G1" s="6" t="s">
        <v>48</v>
      </c>
      <c r="H1" t="s">
        <v>153</v>
      </c>
    </row>
    <row r="2" spans="1:9" x14ac:dyDescent="0.25">
      <c r="A2">
        <v>74</v>
      </c>
      <c r="B2" s="8">
        <v>18</v>
      </c>
      <c r="C2">
        <v>19</v>
      </c>
      <c r="D2">
        <v>10</v>
      </c>
      <c r="E2">
        <f>+D2+C2</f>
        <v>29</v>
      </c>
      <c r="F2">
        <v>18</v>
      </c>
      <c r="G2">
        <v>3</v>
      </c>
      <c r="H2">
        <v>7</v>
      </c>
      <c r="I2">
        <f>SUM(F2:H2)</f>
        <v>28</v>
      </c>
    </row>
    <row r="3" spans="1:9" x14ac:dyDescent="0.25">
      <c r="B3" s="9">
        <f>B2/$A$2</f>
        <v>0.24324324324324326</v>
      </c>
      <c r="C3" s="9">
        <f>C2/$A$2</f>
        <v>0.25675675675675674</v>
      </c>
      <c r="D3" s="9"/>
      <c r="E3" s="9">
        <f>E2/$A$2</f>
        <v>0.39189189189189189</v>
      </c>
      <c r="F3" s="9">
        <f>F2/$A$2</f>
        <v>0.24324324324324326</v>
      </c>
      <c r="G3" s="9">
        <f>G2/$A$2</f>
        <v>4.0540540540540543E-2</v>
      </c>
      <c r="H3" s="9">
        <f>H2/$A$2</f>
        <v>9.45945945945946E-2</v>
      </c>
      <c r="I3" s="9">
        <f>I2/$A$2</f>
        <v>0.3783783783783784</v>
      </c>
    </row>
    <row r="4" spans="1:9" x14ac:dyDescent="0.25">
      <c r="D4">
        <v>10</v>
      </c>
      <c r="E4">
        <f>+D2+F2</f>
        <v>28</v>
      </c>
    </row>
    <row r="5" spans="1:9" x14ac:dyDescent="0.25">
      <c r="E5">
        <f>D4/E4</f>
        <v>0.35714285714285715</v>
      </c>
    </row>
    <row r="7" spans="1:9" x14ac:dyDescent="0.25">
      <c r="B7" t="s">
        <v>150</v>
      </c>
    </row>
  </sheetData>
  <dataValidations count="1">
    <dataValidation type="list" allowBlank="1" showErrorMessage="1" sqref="G1" xr:uid="{2045F748-32C8-4398-8B00-9A2DA4461BA9}">
      <formula1>"Cancelado,Declinada,En construccion,Ganada,Perdida,Presentada,Fase Preliminar"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2"/>
  <sheetViews>
    <sheetView tabSelected="1" workbookViewId="0">
      <pane ySplit="1" topLeftCell="A9" activePane="bottomLeft" state="frozen"/>
      <selection pane="bottomLeft" activeCell="A22" sqref="A22"/>
    </sheetView>
  </sheetViews>
  <sheetFormatPr baseColWidth="10" defaultColWidth="14.42578125" defaultRowHeight="15" customHeight="1" x14ac:dyDescent="0.25"/>
  <cols>
    <col min="1" max="1" width="11.140625" customWidth="1"/>
    <col min="2" max="2" width="26.140625" customWidth="1"/>
    <col min="3" max="3" width="10.7109375" customWidth="1"/>
    <col min="4" max="4" width="11.85546875" customWidth="1"/>
    <col min="5" max="6" width="21.5703125" customWidth="1"/>
    <col min="7" max="7" width="17.42578125" customWidth="1"/>
    <col min="8" max="8" width="41.42578125" customWidth="1"/>
    <col min="9" max="9" width="23.28515625" customWidth="1"/>
    <col min="10" max="10" width="21.28515625" customWidth="1"/>
    <col min="11" max="12" width="18" customWidth="1"/>
    <col min="13" max="31" width="10.7109375" customWidth="1"/>
  </cols>
  <sheetData>
    <row r="1" spans="1:31" ht="33" customHeight="1" thickBot="1" x14ac:dyDescent="0.3">
      <c r="A1" s="1" t="s">
        <v>0</v>
      </c>
      <c r="B1" s="7" t="s">
        <v>1</v>
      </c>
      <c r="C1" s="7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114</v>
      </c>
      <c r="I1" s="1" t="s">
        <v>7</v>
      </c>
      <c r="J1" s="1" t="s">
        <v>8</v>
      </c>
      <c r="K1" s="1" t="s">
        <v>9</v>
      </c>
      <c r="L1" s="7" t="s">
        <v>11</v>
      </c>
      <c r="M1" s="1" t="s">
        <v>115</v>
      </c>
      <c r="N1" s="10" t="s">
        <v>157</v>
      </c>
      <c r="O1" s="1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" ht="15" customHeight="1" thickBot="1" x14ac:dyDescent="0.3">
      <c r="A2" s="57">
        <v>46027</v>
      </c>
      <c r="B2" s="26" t="s">
        <v>116</v>
      </c>
      <c r="C2" s="27" t="s">
        <v>19</v>
      </c>
      <c r="D2" s="31">
        <v>12</v>
      </c>
      <c r="E2" s="58">
        <v>185000000</v>
      </c>
      <c r="F2" s="58">
        <v>2220000000</v>
      </c>
      <c r="G2" s="27" t="s">
        <v>15</v>
      </c>
      <c r="H2" s="27" t="s">
        <v>117</v>
      </c>
      <c r="I2" s="16" t="s">
        <v>16</v>
      </c>
      <c r="J2" s="31" t="s">
        <v>17</v>
      </c>
      <c r="K2" s="17">
        <v>0.5</v>
      </c>
      <c r="L2" s="59">
        <v>46040</v>
      </c>
      <c r="M2" s="27"/>
      <c r="N2" s="27"/>
      <c r="O2" s="63">
        <v>1</v>
      </c>
    </row>
    <row r="3" spans="1:31" ht="15" customHeight="1" thickBot="1" x14ac:dyDescent="0.3">
      <c r="A3" s="57">
        <v>46027</v>
      </c>
      <c r="B3" s="26" t="s">
        <v>118</v>
      </c>
      <c r="C3" s="27" t="s">
        <v>19</v>
      </c>
      <c r="D3" s="31">
        <v>12</v>
      </c>
      <c r="E3" s="58">
        <v>529000000</v>
      </c>
      <c r="F3" s="58">
        <v>6348000000</v>
      </c>
      <c r="G3" s="27" t="s">
        <v>15</v>
      </c>
      <c r="H3" s="27" t="s">
        <v>119</v>
      </c>
      <c r="I3" s="16" t="s">
        <v>16</v>
      </c>
      <c r="J3" s="31" t="s">
        <v>17</v>
      </c>
      <c r="K3" s="17">
        <v>0.5</v>
      </c>
      <c r="L3" s="59">
        <v>46044</v>
      </c>
      <c r="M3" s="27"/>
      <c r="N3" s="27"/>
      <c r="O3" s="28">
        <v>1</v>
      </c>
    </row>
    <row r="4" spans="1:31" ht="15" customHeight="1" thickBot="1" x14ac:dyDescent="0.3">
      <c r="A4" s="57">
        <v>46027</v>
      </c>
      <c r="B4" s="26" t="s">
        <v>120</v>
      </c>
      <c r="C4" s="27" t="s">
        <v>19</v>
      </c>
      <c r="D4" s="31">
        <v>12</v>
      </c>
      <c r="E4" s="58">
        <v>85000000</v>
      </c>
      <c r="F4" s="58">
        <v>1020000000</v>
      </c>
      <c r="G4" s="27" t="s">
        <v>15</v>
      </c>
      <c r="H4" s="27" t="s">
        <v>121</v>
      </c>
      <c r="I4" s="16" t="s">
        <v>16</v>
      </c>
      <c r="J4" s="31" t="s">
        <v>17</v>
      </c>
      <c r="K4" s="17">
        <v>0.5</v>
      </c>
      <c r="L4" s="59">
        <v>46062</v>
      </c>
      <c r="M4" s="27"/>
      <c r="N4" s="27"/>
      <c r="O4" s="28">
        <v>1</v>
      </c>
    </row>
    <row r="5" spans="1:31" ht="15" customHeight="1" thickBot="1" x14ac:dyDescent="0.3">
      <c r="A5" s="57">
        <v>46033</v>
      </c>
      <c r="B5" s="26" t="s">
        <v>122</v>
      </c>
      <c r="C5" s="27" t="s">
        <v>19</v>
      </c>
      <c r="D5" s="31">
        <v>12</v>
      </c>
      <c r="E5" s="58">
        <v>0</v>
      </c>
      <c r="F5" s="58">
        <v>0</v>
      </c>
      <c r="G5" s="27" t="s">
        <v>28</v>
      </c>
      <c r="H5" s="27" t="s">
        <v>123</v>
      </c>
      <c r="I5" s="18" t="s">
        <v>124</v>
      </c>
      <c r="J5" s="31" t="s">
        <v>55</v>
      </c>
      <c r="K5" s="27"/>
      <c r="L5" s="26"/>
      <c r="M5" s="27"/>
      <c r="N5" s="27"/>
      <c r="O5" s="28">
        <v>8</v>
      </c>
    </row>
    <row r="6" spans="1:31" ht="15" customHeight="1" thickBot="1" x14ac:dyDescent="0.3">
      <c r="A6" s="57">
        <v>46057</v>
      </c>
      <c r="B6" s="26" t="s">
        <v>125</v>
      </c>
      <c r="C6" s="27" t="s">
        <v>53</v>
      </c>
      <c r="D6" s="31">
        <v>12</v>
      </c>
      <c r="E6" s="58">
        <v>50000000</v>
      </c>
      <c r="F6" s="58">
        <v>600000000</v>
      </c>
      <c r="G6" s="27" t="s">
        <v>15</v>
      </c>
      <c r="H6" s="27" t="s">
        <v>126</v>
      </c>
      <c r="I6" s="60" t="s">
        <v>179</v>
      </c>
      <c r="J6" s="31" t="s">
        <v>17</v>
      </c>
      <c r="K6" s="17">
        <v>0.5</v>
      </c>
      <c r="L6" s="59">
        <v>46065</v>
      </c>
      <c r="M6" s="27"/>
      <c r="N6" s="27"/>
      <c r="O6" s="29"/>
    </row>
    <row r="7" spans="1:31" ht="15" customHeight="1" thickBot="1" x14ac:dyDescent="0.3">
      <c r="A7" s="57">
        <v>46058</v>
      </c>
      <c r="B7" s="26" t="s">
        <v>127</v>
      </c>
      <c r="C7" s="27" t="s">
        <v>53</v>
      </c>
      <c r="D7" s="31">
        <v>12</v>
      </c>
      <c r="E7" s="58">
        <v>18000000</v>
      </c>
      <c r="F7" s="58">
        <v>216000000</v>
      </c>
      <c r="G7" s="27" t="s">
        <v>28</v>
      </c>
      <c r="H7" s="27" t="s">
        <v>128</v>
      </c>
      <c r="I7" s="23" t="s">
        <v>31</v>
      </c>
      <c r="J7" s="31" t="s">
        <v>69</v>
      </c>
      <c r="K7" s="20">
        <v>0.75</v>
      </c>
      <c r="L7" s="59">
        <v>46069</v>
      </c>
      <c r="M7" s="61" t="s">
        <v>64</v>
      </c>
      <c r="N7" s="27"/>
      <c r="O7" s="28">
        <v>3</v>
      </c>
    </row>
    <row r="8" spans="1:31" ht="15" customHeight="1" thickBot="1" x14ac:dyDescent="0.3">
      <c r="A8" s="57">
        <v>46059</v>
      </c>
      <c r="B8" s="26" t="s">
        <v>129</v>
      </c>
      <c r="C8" s="27" t="s">
        <v>19</v>
      </c>
      <c r="D8" s="31">
        <v>12</v>
      </c>
      <c r="E8" s="58">
        <v>125000000</v>
      </c>
      <c r="F8" s="58">
        <v>1500000000</v>
      </c>
      <c r="G8" s="27" t="s">
        <v>15</v>
      </c>
      <c r="H8" s="27" t="s">
        <v>130</v>
      </c>
      <c r="I8" s="19" t="s">
        <v>154</v>
      </c>
      <c r="J8" s="31" t="s">
        <v>69</v>
      </c>
      <c r="K8" s="21">
        <v>0.25</v>
      </c>
      <c r="L8" s="59">
        <v>46064</v>
      </c>
      <c r="M8" s="27"/>
      <c r="N8" s="27"/>
      <c r="O8" s="29"/>
    </row>
    <row r="9" spans="1:31" ht="15" customHeight="1" thickBot="1" x14ac:dyDescent="0.3">
      <c r="A9" s="57">
        <v>46059</v>
      </c>
      <c r="B9" s="26" t="s">
        <v>131</v>
      </c>
      <c r="C9" s="27" t="s">
        <v>19</v>
      </c>
      <c r="D9" s="31">
        <v>12</v>
      </c>
      <c r="E9" s="58">
        <v>148000000</v>
      </c>
      <c r="F9" s="58">
        <v>1776000000</v>
      </c>
      <c r="G9" s="27" t="s">
        <v>15</v>
      </c>
      <c r="H9" s="27" t="s">
        <v>132</v>
      </c>
      <c r="I9" s="22" t="s">
        <v>20</v>
      </c>
      <c r="J9" s="31" t="s">
        <v>69</v>
      </c>
      <c r="K9" s="21">
        <v>0.25</v>
      </c>
      <c r="L9" s="59">
        <v>46064</v>
      </c>
      <c r="M9" s="27"/>
      <c r="N9" s="27"/>
      <c r="O9" s="28">
        <v>4</v>
      </c>
    </row>
    <row r="10" spans="1:31" ht="15" customHeight="1" thickBot="1" x14ac:dyDescent="0.3">
      <c r="A10" s="57">
        <v>46061</v>
      </c>
      <c r="B10" s="26" t="s">
        <v>133</v>
      </c>
      <c r="C10" s="27" t="s">
        <v>19</v>
      </c>
      <c r="D10" s="31">
        <v>12</v>
      </c>
      <c r="E10" s="58">
        <v>0</v>
      </c>
      <c r="F10" s="58">
        <v>0</v>
      </c>
      <c r="G10" s="27" t="s">
        <v>28</v>
      </c>
      <c r="H10" s="27" t="s">
        <v>134</v>
      </c>
      <c r="I10" s="31" t="s">
        <v>55</v>
      </c>
      <c r="J10" s="31" t="s">
        <v>55</v>
      </c>
      <c r="K10" s="27"/>
      <c r="L10" s="26"/>
      <c r="M10" s="27"/>
      <c r="N10" s="27"/>
      <c r="O10" s="28">
        <v>7</v>
      </c>
    </row>
    <row r="11" spans="1:31" ht="15" customHeight="1" thickBot="1" x14ac:dyDescent="0.3">
      <c r="A11" s="57">
        <v>46063</v>
      </c>
      <c r="B11" s="26" t="s">
        <v>135</v>
      </c>
      <c r="C11" s="27" t="s">
        <v>19</v>
      </c>
      <c r="D11" s="31">
        <v>12</v>
      </c>
      <c r="E11" s="58">
        <v>60000000</v>
      </c>
      <c r="F11" s="58">
        <v>720000000</v>
      </c>
      <c r="G11" s="27" t="s">
        <v>15</v>
      </c>
      <c r="H11" s="27" t="s">
        <v>136</v>
      </c>
      <c r="I11" s="22" t="s">
        <v>20</v>
      </c>
      <c r="J11" s="31" t="s">
        <v>17</v>
      </c>
      <c r="K11" s="21">
        <v>0</v>
      </c>
      <c r="L11" s="59">
        <v>46045</v>
      </c>
      <c r="M11" s="27"/>
      <c r="N11" s="27"/>
      <c r="O11" s="28">
        <v>4</v>
      </c>
    </row>
    <row r="12" spans="1:31" ht="15" customHeight="1" thickBot="1" x14ac:dyDescent="0.3">
      <c r="A12" s="57">
        <v>46054</v>
      </c>
      <c r="B12" s="26" t="s">
        <v>137</v>
      </c>
      <c r="C12" s="27" t="s">
        <v>22</v>
      </c>
      <c r="D12" s="31">
        <v>12</v>
      </c>
      <c r="E12" s="58">
        <v>500000000</v>
      </c>
      <c r="F12" s="58">
        <v>6000000000</v>
      </c>
      <c r="G12" s="27" t="s">
        <v>28</v>
      </c>
      <c r="H12" s="27" t="s">
        <v>138</v>
      </c>
      <c r="I12" s="22" t="s">
        <v>20</v>
      </c>
      <c r="J12" s="31" t="s">
        <v>69</v>
      </c>
      <c r="K12" s="21">
        <v>0</v>
      </c>
      <c r="L12" s="59">
        <v>46065</v>
      </c>
      <c r="M12" s="27"/>
      <c r="N12" s="27"/>
      <c r="O12" s="28">
        <v>4</v>
      </c>
    </row>
    <row r="13" spans="1:31" ht="15" customHeight="1" thickBot="1" x14ac:dyDescent="0.3">
      <c r="A13" s="57">
        <v>46054</v>
      </c>
      <c r="B13" s="26" t="s">
        <v>137</v>
      </c>
      <c r="C13" s="27" t="s">
        <v>19</v>
      </c>
      <c r="D13" s="31">
        <v>12</v>
      </c>
      <c r="E13" s="58">
        <v>200000000</v>
      </c>
      <c r="F13" s="58">
        <v>2400000000</v>
      </c>
      <c r="G13" s="27" t="s">
        <v>28</v>
      </c>
      <c r="H13" s="27" t="s">
        <v>139</v>
      </c>
      <c r="I13" s="16" t="s">
        <v>16</v>
      </c>
      <c r="J13" s="31" t="s">
        <v>69</v>
      </c>
      <c r="K13" s="20">
        <v>0.75</v>
      </c>
      <c r="L13" s="59">
        <v>46072</v>
      </c>
      <c r="M13" s="27"/>
      <c r="N13" s="27"/>
      <c r="O13" s="28">
        <v>1</v>
      </c>
    </row>
    <row r="14" spans="1:31" ht="15" customHeight="1" thickBot="1" x14ac:dyDescent="0.3">
      <c r="A14" s="57">
        <v>46034</v>
      </c>
      <c r="B14" s="26" t="s">
        <v>140</v>
      </c>
      <c r="C14" s="27" t="s">
        <v>19</v>
      </c>
      <c r="D14" s="31">
        <v>12</v>
      </c>
      <c r="E14" s="58">
        <v>300000000</v>
      </c>
      <c r="F14" s="58">
        <v>3600000000</v>
      </c>
      <c r="G14" s="27" t="s">
        <v>28</v>
      </c>
      <c r="H14" s="27" t="s">
        <v>141</v>
      </c>
      <c r="I14" s="16" t="s">
        <v>16</v>
      </c>
      <c r="J14" s="31" t="s">
        <v>17</v>
      </c>
      <c r="K14" s="17">
        <v>0.5</v>
      </c>
      <c r="L14" s="59">
        <v>46073</v>
      </c>
      <c r="M14" s="27"/>
      <c r="N14" s="27"/>
      <c r="O14" s="28">
        <v>1</v>
      </c>
    </row>
    <row r="15" spans="1:31" ht="15" customHeight="1" thickBot="1" x14ac:dyDescent="0.3">
      <c r="A15" s="57">
        <v>46035</v>
      </c>
      <c r="B15" s="27" t="s">
        <v>142</v>
      </c>
      <c r="C15" s="27" t="s">
        <v>22</v>
      </c>
      <c r="D15" s="31">
        <v>12</v>
      </c>
      <c r="E15" s="58">
        <v>200000000</v>
      </c>
      <c r="F15" s="58">
        <v>2400000000</v>
      </c>
      <c r="G15" s="27" t="s">
        <v>15</v>
      </c>
      <c r="H15" s="27" t="s">
        <v>143</v>
      </c>
      <c r="I15" s="23" t="s">
        <v>31</v>
      </c>
      <c r="J15" s="31" t="s">
        <v>17</v>
      </c>
      <c r="K15" s="24">
        <v>1</v>
      </c>
      <c r="L15" s="59">
        <v>46079</v>
      </c>
      <c r="M15" s="27"/>
      <c r="N15" s="27"/>
      <c r="O15" s="28">
        <v>3</v>
      </c>
    </row>
    <row r="16" spans="1:31" ht="15" customHeight="1" thickBot="1" x14ac:dyDescent="0.3">
      <c r="A16" s="57">
        <v>46087</v>
      </c>
      <c r="B16" s="27" t="s">
        <v>144</v>
      </c>
      <c r="C16" s="27" t="s">
        <v>22</v>
      </c>
      <c r="D16" s="31">
        <v>12</v>
      </c>
      <c r="E16" s="58">
        <v>150000000</v>
      </c>
      <c r="F16" s="58">
        <v>1800000000</v>
      </c>
      <c r="G16" s="27" t="s">
        <v>105</v>
      </c>
      <c r="H16" s="27" t="s">
        <v>145</v>
      </c>
      <c r="I16" s="16" t="s">
        <v>16</v>
      </c>
      <c r="J16" s="31" t="s">
        <v>55</v>
      </c>
      <c r="K16" s="21">
        <v>0.25</v>
      </c>
      <c r="L16" s="59">
        <v>46091</v>
      </c>
      <c r="M16" s="27"/>
      <c r="N16" s="27"/>
      <c r="O16" s="28">
        <v>1</v>
      </c>
    </row>
    <row r="17" spans="1:15" ht="15" customHeight="1" thickBot="1" x14ac:dyDescent="0.3">
      <c r="A17" s="57">
        <v>46087</v>
      </c>
      <c r="B17" s="27" t="s">
        <v>174</v>
      </c>
      <c r="C17" s="27" t="s">
        <v>22</v>
      </c>
      <c r="D17" s="31">
        <v>12</v>
      </c>
      <c r="E17" s="58">
        <v>234000000</v>
      </c>
      <c r="F17" s="58">
        <v>2808000000</v>
      </c>
      <c r="G17" s="27" t="s">
        <v>15</v>
      </c>
      <c r="H17" s="27" t="s">
        <v>146</v>
      </c>
      <c r="I17" s="16" t="s">
        <v>16</v>
      </c>
      <c r="J17" s="31" t="s">
        <v>69</v>
      </c>
      <c r="K17" s="21">
        <v>0.25</v>
      </c>
      <c r="L17" s="59">
        <v>46091</v>
      </c>
      <c r="M17" s="27"/>
      <c r="N17" s="27"/>
      <c r="O17" s="28">
        <v>1</v>
      </c>
    </row>
    <row r="18" spans="1:15" ht="15" customHeight="1" thickBot="1" x14ac:dyDescent="0.3">
      <c r="A18" s="57">
        <v>46091</v>
      </c>
      <c r="B18" s="27" t="s">
        <v>147</v>
      </c>
      <c r="C18" s="27" t="s">
        <v>22</v>
      </c>
      <c r="D18" s="27"/>
      <c r="E18" s="27"/>
      <c r="F18" s="27"/>
      <c r="G18" s="27" t="s">
        <v>28</v>
      </c>
      <c r="H18" s="27" t="s">
        <v>148</v>
      </c>
      <c r="I18" s="25" t="s">
        <v>54</v>
      </c>
      <c r="J18" s="31" t="s">
        <v>69</v>
      </c>
      <c r="K18" s="27"/>
      <c r="L18" s="59">
        <v>46111</v>
      </c>
      <c r="M18" s="27"/>
      <c r="N18" s="27"/>
      <c r="O18" s="28">
        <v>2</v>
      </c>
    </row>
    <row r="19" spans="1:15" ht="15" customHeight="1" thickBot="1" x14ac:dyDescent="0.3">
      <c r="A19" s="57">
        <v>46061</v>
      </c>
      <c r="B19" s="27" t="s">
        <v>167</v>
      </c>
      <c r="C19" s="27" t="s">
        <v>19</v>
      </c>
      <c r="D19" s="31">
        <v>12</v>
      </c>
      <c r="E19" s="58">
        <v>250000000</v>
      </c>
      <c r="F19" s="58">
        <v>3000000000</v>
      </c>
      <c r="G19" s="27" t="s">
        <v>15</v>
      </c>
      <c r="H19" s="27"/>
      <c r="I19" s="23" t="s">
        <v>31</v>
      </c>
      <c r="J19" s="31" t="s">
        <v>32</v>
      </c>
      <c r="K19" s="24">
        <v>1</v>
      </c>
      <c r="L19" s="26"/>
      <c r="M19" s="27"/>
      <c r="N19" s="27"/>
      <c r="O19" s="28">
        <v>3</v>
      </c>
    </row>
    <row r="20" spans="1:15" ht="15" customHeight="1" thickBot="1" x14ac:dyDescent="0.3">
      <c r="A20" s="57">
        <v>46098</v>
      </c>
      <c r="B20" s="27" t="s">
        <v>168</v>
      </c>
      <c r="C20" s="27" t="s">
        <v>25</v>
      </c>
      <c r="D20" s="31">
        <v>12</v>
      </c>
      <c r="E20" s="27"/>
      <c r="F20" s="27"/>
      <c r="G20" s="27" t="s">
        <v>15</v>
      </c>
      <c r="H20" s="27" t="s">
        <v>169</v>
      </c>
      <c r="I20" s="25" t="s">
        <v>54</v>
      </c>
      <c r="J20" s="31" t="s">
        <v>55</v>
      </c>
      <c r="K20" s="27"/>
      <c r="L20" s="26"/>
      <c r="M20" s="27" t="s">
        <v>64</v>
      </c>
      <c r="N20" s="27"/>
      <c r="O20" s="28">
        <v>2</v>
      </c>
    </row>
    <row r="21" spans="1:15" ht="15" customHeight="1" thickBot="1" x14ac:dyDescent="0.3">
      <c r="A21" s="57">
        <v>45735</v>
      </c>
      <c r="B21" s="27" t="s">
        <v>170</v>
      </c>
      <c r="C21" s="27" t="s">
        <v>19</v>
      </c>
      <c r="D21" s="31">
        <v>24</v>
      </c>
      <c r="E21" s="27"/>
      <c r="F21" s="27"/>
      <c r="G21" s="27" t="s">
        <v>15</v>
      </c>
      <c r="H21" s="27" t="s">
        <v>171</v>
      </c>
      <c r="I21" s="31" t="s">
        <v>55</v>
      </c>
      <c r="J21" s="31" t="s">
        <v>55</v>
      </c>
      <c r="K21" s="27"/>
      <c r="L21" s="26"/>
      <c r="M21" s="27"/>
      <c r="N21" s="27"/>
      <c r="O21" s="28">
        <v>7</v>
      </c>
    </row>
    <row r="22" spans="1:15" ht="15" customHeight="1" thickBot="1" x14ac:dyDescent="0.3">
      <c r="A22" s="62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6"/>
      <c r="M22" s="27"/>
      <c r="N22" s="27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LICITACIONES</vt:lpstr>
      <vt:lpstr>Hoja1</vt:lpstr>
      <vt:lpstr>BIG DEALS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Quick</dc:creator>
  <cp:keywords/>
  <dc:description/>
  <cp:lastModifiedBy>Nico Quick</cp:lastModifiedBy>
  <cp:revision/>
  <dcterms:created xsi:type="dcterms:W3CDTF">2026-02-05T19:25:38Z</dcterms:created>
  <dcterms:modified xsi:type="dcterms:W3CDTF">2026-03-30T15:40:43Z</dcterms:modified>
  <cp:category/>
  <cp:contentStatus/>
</cp:coreProperties>
</file>