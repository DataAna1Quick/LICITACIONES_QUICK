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quicksas-my.sharepoint.com/personal/quickbi_quicksas_onmicrosoft_com/Documents/INFORMES/LICITACIONES/"/>
    </mc:Choice>
  </mc:AlternateContent>
  <xr:revisionPtr revIDLastSave="16" documentId="11_6F26D6643BDB24391D3070D098D992B15292E169" xr6:coauthVersionLast="47" xr6:coauthVersionMax="47" xr10:uidLastSave="{E98F7F8B-6A13-40BD-96E7-54C57756AD27}"/>
  <bookViews>
    <workbookView xWindow="-108" yWindow="-108" windowWidth="23256" windowHeight="12456" xr2:uid="{00000000-000D-0000-FFFF-FFFF00000000}"/>
  </bookViews>
  <sheets>
    <sheet name="LICITACIONES" sheetId="1" r:id="rId1"/>
    <sheet name="BIG DEALS" sheetId="2" r:id="rId2"/>
  </sheets>
  <definedNames>
    <definedName name="_xlnm._FilterDatabase" localSheetId="0" hidden="1">LICITACIONES!$A$1:$U$76</definedName>
    <definedName name="Z_481A2CBD_9B07_47CD_9FC6_C0BEB5DC004E_.wvu.FilterData" localSheetId="0" hidden="1">LICITACIONES!$B$1:$X$69</definedName>
  </definedNames>
  <calcPr calcId="191028"/>
  <customWorkbookViews>
    <customWorkbookView name="Filtro 1" guid="{481A2CBD-9B07-47CD-9FC6-C0BEB5DC004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LdKDhgXfP1Sjxv/TFcYwwO7dNY5YKKmy9O7BXxSFTmM="/>
    </ext>
  </extLst>
</workbook>
</file>

<file path=xl/calcChain.xml><?xml version="1.0" encoding="utf-8"?>
<calcChain xmlns="http://schemas.openxmlformats.org/spreadsheetml/2006/main">
  <c r="R48" i="2" l="1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F17" i="2"/>
  <c r="R16" i="2"/>
  <c r="F16" i="2"/>
  <c r="R15" i="2"/>
  <c r="F15" i="2"/>
  <c r="R14" i="2"/>
  <c r="F14" i="2"/>
  <c r="R13" i="2"/>
  <c r="F13" i="2"/>
  <c r="R12" i="2"/>
  <c r="F12" i="2"/>
  <c r="R11" i="2"/>
  <c r="F11" i="2"/>
  <c r="R10" i="2"/>
  <c r="F10" i="2"/>
  <c r="R9" i="2"/>
  <c r="F9" i="2"/>
  <c r="R8" i="2"/>
  <c r="F8" i="2"/>
  <c r="R7" i="2"/>
  <c r="F7" i="2"/>
  <c r="R6" i="2"/>
  <c r="F6" i="2"/>
  <c r="R5" i="2"/>
  <c r="F5" i="2"/>
  <c r="R4" i="2"/>
  <c r="F4" i="2"/>
  <c r="R3" i="2"/>
  <c r="F3" i="2"/>
  <c r="R2" i="2"/>
  <c r="F2" i="2"/>
  <c r="X76" i="1"/>
  <c r="X75" i="1"/>
  <c r="X74" i="1"/>
  <c r="X73" i="1"/>
  <c r="X72" i="1"/>
  <c r="X71" i="1"/>
  <c r="X70" i="1"/>
  <c r="F70" i="1"/>
  <c r="X69" i="1"/>
  <c r="F69" i="1"/>
  <c r="X68" i="1"/>
  <c r="F68" i="1"/>
  <c r="X67" i="1"/>
  <c r="X66" i="1"/>
  <c r="F66" i="1"/>
  <c r="X65" i="1"/>
  <c r="F65" i="1"/>
  <c r="X64" i="1"/>
  <c r="F64" i="1"/>
  <c r="X63" i="1"/>
  <c r="F63" i="1"/>
  <c r="X62" i="1"/>
  <c r="F62" i="1"/>
  <c r="X61" i="1"/>
  <c r="F61" i="1"/>
  <c r="X60" i="1"/>
  <c r="F60" i="1"/>
  <c r="X59" i="1"/>
  <c r="F59" i="1"/>
  <c r="X58" i="1"/>
  <c r="F58" i="1"/>
  <c r="X57" i="1"/>
  <c r="F57" i="1"/>
  <c r="X56" i="1"/>
  <c r="F56" i="1"/>
  <c r="X55" i="1"/>
  <c r="F55" i="1"/>
  <c r="X54" i="1"/>
  <c r="F54" i="1"/>
  <c r="X53" i="1"/>
  <c r="F53" i="1"/>
  <c r="X52" i="1"/>
  <c r="F52" i="1"/>
  <c r="X51" i="1"/>
  <c r="F51" i="1"/>
  <c r="X50" i="1"/>
  <c r="F50" i="1"/>
  <c r="X49" i="1"/>
  <c r="F49" i="1"/>
  <c r="X48" i="1"/>
  <c r="F48" i="1"/>
  <c r="X47" i="1"/>
  <c r="F47" i="1"/>
  <c r="X46" i="1"/>
  <c r="F46" i="1"/>
  <c r="X45" i="1"/>
  <c r="F45" i="1"/>
  <c r="X44" i="1"/>
  <c r="F44" i="1"/>
  <c r="X43" i="1"/>
  <c r="F43" i="1"/>
  <c r="X42" i="1"/>
  <c r="F42" i="1"/>
  <c r="X41" i="1"/>
  <c r="F41" i="1"/>
  <c r="X40" i="1"/>
  <c r="F40" i="1"/>
  <c r="X39" i="1"/>
  <c r="F39" i="1"/>
  <c r="X38" i="1"/>
  <c r="F38" i="1"/>
  <c r="X37" i="1"/>
  <c r="F37" i="1"/>
  <c r="X36" i="1"/>
  <c r="F36" i="1"/>
  <c r="X35" i="1"/>
  <c r="F35" i="1"/>
  <c r="X34" i="1"/>
  <c r="F34" i="1"/>
  <c r="X33" i="1"/>
  <c r="F33" i="1"/>
  <c r="X32" i="1"/>
  <c r="F32" i="1"/>
  <c r="X31" i="1"/>
  <c r="F31" i="1"/>
  <c r="X30" i="1"/>
  <c r="F30" i="1"/>
  <c r="X29" i="1"/>
  <c r="F29" i="1"/>
  <c r="X28" i="1"/>
  <c r="F28" i="1"/>
  <c r="X27" i="1"/>
  <c r="F27" i="1"/>
  <c r="X26" i="1"/>
  <c r="F26" i="1"/>
  <c r="X25" i="1"/>
  <c r="F25" i="1"/>
  <c r="X24" i="1"/>
  <c r="F24" i="1"/>
  <c r="X23" i="1"/>
  <c r="F23" i="1"/>
  <c r="X22" i="1"/>
  <c r="F22" i="1"/>
  <c r="X21" i="1"/>
  <c r="F21" i="1"/>
  <c r="X20" i="1"/>
  <c r="F20" i="1"/>
  <c r="X19" i="1"/>
  <c r="F19" i="1"/>
  <c r="X18" i="1"/>
  <c r="F18" i="1"/>
  <c r="X17" i="1"/>
  <c r="F17" i="1"/>
  <c r="X16" i="1"/>
  <c r="F16" i="1"/>
  <c r="X15" i="1"/>
  <c r="F15" i="1"/>
  <c r="X14" i="1"/>
  <c r="F14" i="1"/>
  <c r="X13" i="1"/>
  <c r="F13" i="1"/>
  <c r="X12" i="1"/>
  <c r="F12" i="1"/>
  <c r="X11" i="1"/>
  <c r="F11" i="1"/>
  <c r="X10" i="1"/>
  <c r="F10" i="1"/>
  <c r="X9" i="1"/>
  <c r="F9" i="1"/>
  <c r="X8" i="1"/>
  <c r="F8" i="1"/>
  <c r="X7" i="1"/>
  <c r="F7" i="1"/>
  <c r="X6" i="1"/>
  <c r="F6" i="1"/>
  <c r="X5" i="1"/>
  <c r="F5" i="1"/>
  <c r="X4" i="1"/>
  <c r="F4" i="1"/>
  <c r="X3" i="1"/>
  <c r="F3" i="1"/>
  <c r="X2" i="1"/>
  <c r="F2" i="1"/>
</calcChain>
</file>

<file path=xl/sharedStrings.xml><?xml version="1.0" encoding="utf-8"?>
<sst xmlns="http://schemas.openxmlformats.org/spreadsheetml/2006/main" count="839" uniqueCount="442">
  <si>
    <t>Fecha Creación</t>
  </si>
  <si>
    <t>CLIENTE</t>
  </si>
  <si>
    <t>LINEA</t>
  </si>
  <si>
    <t>Tiempo de Contrato</t>
  </si>
  <si>
    <t>Estimación mensual</t>
  </si>
  <si>
    <t>Estimación Contrato</t>
  </si>
  <si>
    <t>Comercial</t>
  </si>
  <si>
    <t>Status</t>
  </si>
  <si>
    <t>Tipificación</t>
  </si>
  <si>
    <t>Probabilidad de cierre</t>
  </si>
  <si>
    <t>Asignado a</t>
  </si>
  <si>
    <t>FECHA DE PRESENTACION</t>
  </si>
  <si>
    <t>¿QUE DEBEMOS HACER PARA GANARLA?</t>
  </si>
  <si>
    <t>SEGUIMIENTO A 7 NOV</t>
  </si>
  <si>
    <t>SEGUIMIENTO A 10 NOV</t>
  </si>
  <si>
    <t>SEGUIMIENTO A 2 ENERO</t>
  </si>
  <si>
    <t>sEGUIMIENTO 16 ENERO</t>
  </si>
  <si>
    <t>SEGUIMIENTO 23 ENERO</t>
  </si>
  <si>
    <t>SEGUIMIENTO 5 FEBRERO</t>
  </si>
  <si>
    <t>SEGUIMIENTO 12 FEBRERO</t>
  </si>
  <si>
    <t>SEGUIMIENTO AL 27 FEBRERO</t>
  </si>
  <si>
    <t>SEGUIMIENTO AL 6 DE MARZO</t>
  </si>
  <si>
    <t>SEGUIMIENTO AL 13 DE MARZO</t>
  </si>
  <si>
    <t>NUMERO ETAPA</t>
  </si>
  <si>
    <t>GRUPO UMA VS SAS</t>
  </si>
  <si>
    <t>LH-UD</t>
  </si>
  <si>
    <t>Anderson Santos</t>
  </si>
  <si>
    <t>Presentada</t>
  </si>
  <si>
    <t>Ronda 2</t>
  </si>
  <si>
    <t>Seguimiento para llegar a las tarifas deseadas.</t>
  </si>
  <si>
    <t>Cliente se le marca el viernes pero no contesta, se debe emitir correo al cliente</t>
  </si>
  <si>
    <t>Se emite correo y se deja mensaje por whatsapp ., el cliente confirma que sigue en revision aun , se actualiza en CRM</t>
  </si>
  <si>
    <t>29 diciembre sustentacion de tarifas en segunda ronda. Se esta negociado por carga y por distribucion.</t>
  </si>
  <si>
    <t>Sin respuesta a la fecha</t>
  </si>
  <si>
    <t>Cliente no contesta, se emite correo</t>
  </si>
  <si>
    <t>El cliente nos confirma que el proceso sigue activo</t>
  </si>
  <si>
    <t>El cliente nos confirma que el proceso sigue activo , se emite correo con parte de seguimiento , se actualiza CRM. Desde el 10 de febrero sin feedback</t>
  </si>
  <si>
    <t>Ya se tien el contacto qu emaneja esa licitacion,  se esta coordinando una reunion presencial</t>
  </si>
  <si>
    <t>COLGATE CROSSDOCKING</t>
  </si>
  <si>
    <t>UD</t>
  </si>
  <si>
    <t>Perdida</t>
  </si>
  <si>
    <t>Seguimiento de respuesta por parte del cliente/ visita sorpresa a bodegas Cross</t>
  </si>
  <si>
    <t>HALLIBURTON</t>
  </si>
  <si>
    <t>LH</t>
  </si>
  <si>
    <t>Jeimy Acelas</t>
  </si>
  <si>
    <t>35% Evaluacion economica/ 20% HSEQ y seguridad/ 15% TMS/ 20% Evaluacion Tecnica /5% termino de pago 120 dias</t>
  </si>
  <si>
    <t>SCANIA</t>
  </si>
  <si>
    <t>WH</t>
  </si>
  <si>
    <t>Jefferson Marquez</t>
  </si>
  <si>
    <t>Proyecto 2026</t>
  </si>
  <si>
    <t>CAFAM BARRANQUILLA</t>
  </si>
  <si>
    <t>Erika Gonzalez</t>
  </si>
  <si>
    <t>Almacenamiento de Pañales y distribucion Barranquilla// Tarifa</t>
  </si>
  <si>
    <t>Conversacion con Guillermo Franco, estan aun en análisis</t>
  </si>
  <si>
    <t>Se envía actualizacion 18 de diciembre</t>
  </si>
  <si>
    <t>Ajuste tarifas 2026 enviado 16 enero</t>
  </si>
  <si>
    <t>Se envío actualizacion de tarifas 2026 semana del 14 de enero</t>
  </si>
  <si>
    <t>Nos actualiza en llmada 6 de febrero</t>
  </si>
  <si>
    <t>Don Guillermo responde el Lunes 9 de Febrero que no hay dinero- se suspende proyecto</t>
  </si>
  <si>
    <t>Proceso en stand by por flujo de caja del cliente</t>
  </si>
  <si>
    <t>Continua en Stand By</t>
  </si>
  <si>
    <t>ENEL INHOUSE COTA</t>
  </si>
  <si>
    <t>FASE DE CREACION PROPUESTA</t>
  </si>
  <si>
    <t>DOLLAR CITY DEDICADOS</t>
  </si>
  <si>
    <t>Ganada</t>
  </si>
  <si>
    <t>Ronda 3</t>
  </si>
  <si>
    <t>Se inicio prueba piloto en Enero,  recibimos ya confirmacion formal de asignacion</t>
  </si>
  <si>
    <t>P&amp;G POP</t>
  </si>
  <si>
    <t>Espacios Bogota, Pereira, Bucaramanga, Cali, Medellin, Barranquilla.</t>
  </si>
  <si>
    <t>VANTI</t>
  </si>
  <si>
    <t>Esta adjudicada telefonicamente, pendiente la formalidad</t>
  </si>
  <si>
    <t>Renovacion</t>
  </si>
  <si>
    <t>ALIANZA TEAMS</t>
  </si>
  <si>
    <t>Cerrar hallazgos de Bodega Alamos Quick</t>
  </si>
  <si>
    <t>Inicio</t>
  </si>
  <si>
    <t>BELCORP</t>
  </si>
  <si>
    <t>LM</t>
  </si>
  <si>
    <t>En Segunda Fase // Corbertura- Tarifas/ Sin respuesta aun en plataforma 24/ Oct</t>
  </si>
  <si>
    <t>Cliente no contesta</t>
  </si>
  <si>
    <t>Cliente no contesta , se le deja mensaje por whatsapp, pendiente ingreso a la plataforma, se actualiza en CRM</t>
  </si>
  <si>
    <t>LOREAL</t>
  </si>
  <si>
    <t>Se sustento 17/oct</t>
  </si>
  <si>
    <t>En analisis del cliente</t>
  </si>
  <si>
    <t>Seguimiento con Natalia Cerro semana del 5 de enero</t>
  </si>
  <si>
    <t>AKZONOBEL</t>
  </si>
  <si>
    <t>Milton Gonzalez</t>
  </si>
  <si>
    <t>Declinada</t>
  </si>
  <si>
    <t>Presentacion Fase 2</t>
  </si>
  <si>
    <t>Declinada, se abre nueva licitacion tercera semana de Enero</t>
  </si>
  <si>
    <t>Cliente declina el evento y nos informará cuando lo lance de nuevo</t>
  </si>
  <si>
    <t>CUEROS VELEZ</t>
  </si>
  <si>
    <t>Sustentacion Miercoles 3 septiembre 3:00 pm</t>
  </si>
  <si>
    <t>ETERNA</t>
  </si>
  <si>
    <t>Yenifer Perez</t>
  </si>
  <si>
    <t>Precio</t>
  </si>
  <si>
    <t>NOVARTIS</t>
  </si>
  <si>
    <t>*Precio y Experiencia</t>
  </si>
  <si>
    <t>JERONIMO MARTINS</t>
  </si>
  <si>
    <t>Envío tarifas 28/oct</t>
  </si>
  <si>
    <t>PRESENTADA TARIFA INICIAL POR KM EL 28 DE OCTUBRE</t>
  </si>
  <si>
    <t>TIGO</t>
  </si>
  <si>
    <t>Cancelado</t>
  </si>
  <si>
    <t>el 25 Agosto se debe enviar respuesta de licitación, el cliente tiene 90 dias para dar que proveedor quedo</t>
  </si>
  <si>
    <t>Cliente no contesta , se le deja mensaje por whatsappa , se ingresa an plataforma y esta igual , se actualiza en CRM</t>
  </si>
  <si>
    <t>Cliente emite correo de proyecto cancelado, Se actualiza CRM</t>
  </si>
  <si>
    <t>GRUPO REDITOS</t>
  </si>
  <si>
    <t>Casos de éxito y la tecnología como valor agregado, cliente confirma no adjudicada</t>
  </si>
  <si>
    <t>pendiente contacto</t>
  </si>
  <si>
    <t>cliente no contesta , se le deja mensaje por whatsappa</t>
  </si>
  <si>
    <t>FIBERHOME</t>
  </si>
  <si>
    <t>Propuesta en Construccion</t>
  </si>
  <si>
    <t>JOLIFOODS</t>
  </si>
  <si>
    <t>Enviada</t>
  </si>
  <si>
    <t>MONDELEZ POP</t>
  </si>
  <si>
    <t>LM-WH</t>
  </si>
  <si>
    <t>En construccion</t>
  </si>
  <si>
    <t>Fase Preliminar</t>
  </si>
  <si>
    <t>Jose</t>
  </si>
  <si>
    <t>en construccion de la propuesta / Se presento RFI</t>
  </si>
  <si>
    <t>no deja cambiar embudo en el crm, sin embargo se organiza reunion con el equipo financiero debido a novedad en documentos financieros el 14 noviembre</t>
  </si>
  <si>
    <t>Se debe hacer visita a la operacion actual, cliente envia fechas opcionales de visita</t>
  </si>
  <si>
    <t>Nos visitan el 6 de febrero</t>
  </si>
  <si>
    <t>Visita a Bodega QUICK 4 de febrero</t>
  </si>
  <si>
    <t>Pendiente confirmar visita a Bodega</t>
  </si>
  <si>
    <t>Cliente confirma visita a instalaciones Quick 19 de febrero</t>
  </si>
  <si>
    <t>Se debe presentar propuesta despues de la visita del cliente el juves 26 de feb. Actualizo volúmenes y se esta construyendo propuesta</t>
  </si>
  <si>
    <t>Ya aparece abierta tercera ronda, para presenta r el 13 de Marzo</t>
  </si>
  <si>
    <t>ETERNIT</t>
  </si>
  <si>
    <t>LH-WH</t>
  </si>
  <si>
    <t>SE ENVIA CONTRAPROPUESTA</t>
  </si>
  <si>
    <t>Se hace seguimiento viernes 9 de enero</t>
  </si>
  <si>
    <t>Confirman a final de mes resultados</t>
  </si>
  <si>
    <t>Respondieronq ue aun estan en revision</t>
  </si>
  <si>
    <t>Se envía correo de seguimiento</t>
  </si>
  <si>
    <t>Espero que te encuentres muy bien, esperamos notificar la próxima semana a más tardar.</t>
  </si>
  <si>
    <t>GALDERMA</t>
  </si>
  <si>
    <t>UD - LM</t>
  </si>
  <si>
    <t>Se presenta nueva oferta acorde a la necesidad especifica del cliente/ Seguimiento 22 oct en analisis aun</t>
  </si>
  <si>
    <t>Cliente se le marca el viernes pero no contesta</t>
  </si>
  <si>
    <t>Cliente no respondio mensajes</t>
  </si>
  <si>
    <t>D1 COSTA</t>
  </si>
  <si>
    <t>Inicio de operación 15 Oct</t>
  </si>
  <si>
    <t>NESTLE 3PL COL</t>
  </si>
  <si>
    <t>UD - WH</t>
  </si>
  <si>
    <t>Juan D</t>
  </si>
  <si>
    <t>PENDIENTE</t>
  </si>
  <si>
    <t>RFI enviado</t>
  </si>
  <si>
    <t>Seguimiento con Christian semana del 5 de enero</t>
  </si>
  <si>
    <t>Sustentacion 4 de febrero</t>
  </si>
  <si>
    <t>Visita comercial y operactiva 2 febrero CD Dosquebradas, sustentacion 4 febrero presencial</t>
  </si>
  <si>
    <t>Realizar ajustes a todas las propuestas, segun sustentacion 4 de febrero</t>
  </si>
  <si>
    <t>Martes 17 abren proceso en Ariba y se agendan visitas a Valledupar y Mosquera.</t>
  </si>
  <si>
    <t>Visitas a Mosquera y Vdupar, abren proceso de nuevo 5 de marzo en ARIBA</t>
  </si>
  <si>
    <t>Pendientes de apertura de ARIBA para nueva ronda</t>
  </si>
  <si>
    <t>NESTLE SMALL PARCEL</t>
  </si>
  <si>
    <t>Propuesta enviada 22 Oct</t>
  </si>
  <si>
    <t>Carta de NO adjudicacion</t>
  </si>
  <si>
    <t>Comunicacion de no adjudicacion 19 de enero</t>
  </si>
  <si>
    <t>ARIS MINING</t>
  </si>
  <si>
    <t>Preguntas enviadas 22 de octubre</t>
  </si>
  <si>
    <t>En proceso de documentos por operaciones</t>
  </si>
  <si>
    <t>Seguimiento semana 14 de enero / Nueva oportunidad almacenamiento</t>
  </si>
  <si>
    <t>Seguimiento 19 de enero</t>
  </si>
  <si>
    <t>Enmviar aclaraciones 26 de enero antes de 11 am</t>
  </si>
  <si>
    <t>Se solicita programar reunion para demo evidenciando trazabilidad y tracking</t>
  </si>
  <si>
    <t>En Seguimiento</t>
  </si>
  <si>
    <t>En analisis aun del cliente</t>
  </si>
  <si>
    <t>Viernes 6 de Marzo nos solicitan ajustar tarifas segun correo,para entregar el martes 10 de marzo</t>
  </si>
  <si>
    <t>PROMIGAS</t>
  </si>
  <si>
    <t>SE DEBE ENTREGAR EL 20 DE NOV</t>
  </si>
  <si>
    <t>Se sube documentos sin novedad</t>
  </si>
  <si>
    <t>Aun estan en revision</t>
  </si>
  <si>
    <t>Cliente en proceso de revisión</t>
  </si>
  <si>
    <t>Cliente en proceso de revisión, se emite correo con seguimiento.</t>
  </si>
  <si>
    <t>Cliente confirma que no fue adjudicado proceso, se actualiza CRM</t>
  </si>
  <si>
    <t>DIAGEO</t>
  </si>
  <si>
    <t>En proceso de entrega RFI</t>
  </si>
  <si>
    <t>Seguimiento semana 14 de enero</t>
  </si>
  <si>
    <t>Seguimiento sem 26 de enero</t>
  </si>
  <si>
    <t>Cliente confirma que aun no hay avances en el proceso.</t>
  </si>
  <si>
    <t>Correo de continuidad de la operacion actual sema del 14 de febrero</t>
  </si>
  <si>
    <t>PROYECTO MEDTRONIC</t>
  </si>
  <si>
    <t>Ronda 1</t>
  </si>
  <si>
    <t>Proceso de alcance integral</t>
  </si>
  <si>
    <t>En construccion propuesta economica</t>
  </si>
  <si>
    <t>presentar propuesta 22 de enero</t>
  </si>
  <si>
    <t>Se envío propuesta economica 23 de enero</t>
  </si>
  <si>
    <t>Reunion de seguimiento 6 de febrero</t>
  </si>
  <si>
    <t>Lunes 23 de Febrero nuevo espacio con el cliente para bajar propuesta en numeros reales de la operacion</t>
  </si>
  <si>
    <t xml:space="preserve">Se deben hacer visitas tecnicas primera seman de marzo/ Cliente no ha dado agenda aún </t>
  </si>
  <si>
    <t>Pendiente respuesta del cliente para mesas de trabajo</t>
  </si>
  <si>
    <t>COMPENSAR ALIMENTOS</t>
  </si>
  <si>
    <t>se envía ajuste en tarifas solicitadas por el cliente</t>
  </si>
  <si>
    <t>En proceso de revision por parte de Diana Pinilla</t>
  </si>
  <si>
    <t>Tarifas sin ajustes por dos años</t>
  </si>
  <si>
    <t>KELLOGS</t>
  </si>
  <si>
    <t>Enviada al cliente</t>
  </si>
  <si>
    <t>En proceso de construccion</t>
  </si>
  <si>
    <t>Propuesta de Fulfillment, se sustento semana del 14 de enero</t>
  </si>
  <si>
    <t>En tercer ronda se debe presentar este viernes 23 Enero</t>
  </si>
  <si>
    <t>El cliente cambia formato pendiente confirmacion espacio para aclarar dudas</t>
  </si>
  <si>
    <t>El proceso actual de tercera ronda</t>
  </si>
  <si>
    <t>En espera de confirmacion de proceso proceso de tercera ronda , se emite correo y se actualiza CRM.  Sin feedback del cliente desde febrero</t>
  </si>
  <si>
    <t>PEPSICO</t>
  </si>
  <si>
    <t>PT</t>
  </si>
  <si>
    <t>Walter Vasquez</t>
  </si>
  <si>
    <t>Se envio licitación a Walter Vazquez</t>
  </si>
  <si>
    <t>NESTLE PAQUETEO</t>
  </si>
  <si>
    <t>se escribe a ocmprador en Panama</t>
  </si>
  <si>
    <t>Se envia correo para Update a comprador de Panama/ En revision aun</t>
  </si>
  <si>
    <t>Cliente respondio con no asignacion</t>
  </si>
  <si>
    <t>B DICKINSON</t>
  </si>
  <si>
    <t>Cliente no respondio a las preguntas para poder construir propuesta</t>
  </si>
  <si>
    <t>Cliente no respondiop preguntas</t>
  </si>
  <si>
    <t>SOFTYS COLOMBIA S.A</t>
  </si>
  <si>
    <t>Reunion de lanzamiento 13 de enero, en analisis de la informacion</t>
  </si>
  <si>
    <t>Seguimiento semana 14 de enero / Reunion de lanzamiento Lunes 13 de enero 2PM. Pliegos ya cargados en KEELVAR</t>
  </si>
  <si>
    <t>Movieron fecha de entrega, respuestas llegaron el 23 de enero</t>
  </si>
  <si>
    <t>Se presento porpuesta final 26 de enero</t>
  </si>
  <si>
    <t>Se realiza seguimiento, pendiente retroalimentacion/ Responden en periodo de evaluacion</t>
  </si>
  <si>
    <t>Se presento segunda ronda con ajustes 24 de febrero</t>
  </si>
  <si>
    <t>Pendiente feedback de segunda ronda</t>
  </si>
  <si>
    <t>CENCOSUD</t>
  </si>
  <si>
    <t>Se presento por modelo GO</t>
  </si>
  <si>
    <t>Recibimos carta de adjudicacion 30 diciembre, domicilios por GO</t>
  </si>
  <si>
    <t>Revision de contrato</t>
  </si>
  <si>
    <t>NESTLE OPL NHS</t>
  </si>
  <si>
    <t>Seguimiento con Christian semana del 5 de enero/ SE MUEVE FECHA DE ENTREGA 30 DE ENERO</t>
  </si>
  <si>
    <t>Fecha de entrega 6 de febrero</t>
  </si>
  <si>
    <t>Cierra 29 de enero</t>
  </si>
  <si>
    <t>Presentar 13 Febrero, cierra plataforma</t>
  </si>
  <si>
    <t>Se presenta oferta 13 de febrero en Ariba</t>
  </si>
  <si>
    <t>Presentra nueva ronda y ajustes 27 de febrero</t>
  </si>
  <si>
    <t>Pendiente Feedback de segunda ronda</t>
  </si>
  <si>
    <t>SERVICIOS NUTRESA</t>
  </si>
  <si>
    <t>Se envian aclaraciones 8 de enero y documentacion financiera de soporte/ actualizacion tarifas 2026</t>
  </si>
  <si>
    <t>Responder a Feedback que el cliente envio el 4 de Febrero</t>
  </si>
  <si>
    <t>Cliente solicita 2.000 posiciones y envia solicitud de aclaraciones, Martes 10 de Febrero</t>
  </si>
  <si>
    <t>Pendiente revisión de propuesta</t>
  </si>
  <si>
    <t>Se debe presentar  nueva propuesta segun recomendaciones el cliente el miercoles 11 de marzo</t>
  </si>
  <si>
    <t>DAVIVIENDA ENTREGA LLAVES</t>
  </si>
  <si>
    <t>no presentada debido a no alcance de servicios</t>
  </si>
  <si>
    <t>el pasado 24 Diciembre se emite carta de no participación por novedad</t>
  </si>
  <si>
    <t>CENCOSUD HOME DELIVERY</t>
  </si>
  <si>
    <t>Misma opearcion, se oferta vehiculo dedicado</t>
  </si>
  <si>
    <t>Presentada martes 30 de diiembre/ Sustentacion tecnica lunes 5 de enero</t>
  </si>
  <si>
    <t>Seg semana 26 de enero</t>
  </si>
  <si>
    <t>Seguimiento, pendiente respuesta</t>
  </si>
  <si>
    <t>El cliente confirma que esta semana entregara resultados</t>
  </si>
  <si>
    <t>Informacion de no asignacion en Ariba</t>
  </si>
  <si>
    <t>DAVIVIENDA MENSAJERIA</t>
  </si>
  <si>
    <t>Cierra 9 de enero / No se presenta por bajo volumen</t>
  </si>
  <si>
    <t>LOREAL DEDICADOS PLANTA</t>
  </si>
  <si>
    <t>Invitacion martes 6 de enero</t>
  </si>
  <si>
    <t>Se carga Anexo de preguntas a la plataforma</t>
  </si>
  <si>
    <t>Enviado 30 de enero</t>
  </si>
  <si>
    <t>Feedback semana 9 de febrero</t>
  </si>
  <si>
    <t>Cliente solicito aclaraciones, plan de mantenimientos enviados el dia de ayer 12 de febrero</t>
  </si>
  <si>
    <t>Se solicito por correo status del proceso</t>
  </si>
  <si>
    <t>UNILEVER 3PL</t>
  </si>
  <si>
    <t>RFI ENVIADO 6 DE ENERO</t>
  </si>
  <si>
    <t>Se Presento RFI, seleccionados para participar. Esperar RFP</t>
  </si>
  <si>
    <t>Sesion de preguntas Lunes 9 de febrero,Presentar 13 Febrero, cierra plataforma</t>
  </si>
  <si>
    <t>fecha de cierre 17 de febrero, se trabaja viernes sabado y Domingo con Juan David Moreno.</t>
  </si>
  <si>
    <t>Cliente espera ver nodegas ya montadas y operativas, evaluar continuidad del proceso</t>
  </si>
  <si>
    <t>Se reactivo el jueves 5 de marzo el Cliente solicita presentacion de las bodegas</t>
  </si>
  <si>
    <t xml:space="preserve">Nos llega notificacion po r ARIBA de no asignacion 11/03/2026,  clientes esperaba ver bodega listas para operar </t>
  </si>
  <si>
    <t>HACEB ALMACENAMIENTO</t>
  </si>
  <si>
    <t>Reunion aclaracion de dudas martes 13 de enero / ya se tienen las preguntas</t>
  </si>
  <si>
    <t>Se trabajo la propouesta tecnica y economica, se envía lunes 26 y se visita al cliente el viernes 30 de enero</t>
  </si>
  <si>
    <t>Nueva validacion de costeo y presentacion de oferta 9 de febrero</t>
  </si>
  <si>
    <t>Validacion VPO , nuevas alternativas con ajustes, se vuelve a presentar el Lunes 16 de Febrero</t>
  </si>
  <si>
    <t>Se sustento propuesta jueves 25 de febrero, en analisis del cliente</t>
  </si>
  <si>
    <t>Cliente nos solicita hacere un nuevo esfuerzo en tarifas y revisar el HC, entregar lunes 9 de marzo</t>
  </si>
  <si>
    <t>PAPELES PRIMAVERA CARGA</t>
  </si>
  <si>
    <t>Visita comercial 8 de enero / Visita tecnica 14 de enero</t>
  </si>
  <si>
    <t>Penciente completar tarifas ITR, SEGUIMIENTO SEM 26 DE ENERO</t>
  </si>
  <si>
    <t>Reunion de revision de propuesta el 9 de Febrero</t>
  </si>
  <si>
    <t>Envio tarifas ITR 16 de febrero y revision con el cliente</t>
  </si>
  <si>
    <t>Cliente aun en revision de propuesta nuevos proveedores</t>
  </si>
  <si>
    <t>Pendiente feedback del cliente</t>
  </si>
  <si>
    <t>PAPELES PRIMAVERA 3PL</t>
  </si>
  <si>
    <t>Pendiente respuestas del cliente</t>
  </si>
  <si>
    <t>Cliente envio respuestas jueves 5 de febrero, presentar propuesta 16 de febrero</t>
  </si>
  <si>
    <t>Pendiente envio de informacion de almacenamiento por parte del cliente</t>
  </si>
  <si>
    <t>Sin informacion del cliente</t>
  </si>
  <si>
    <t>ETB</t>
  </si>
  <si>
    <t>Entrega de propuesta 16 de enero</t>
  </si>
  <si>
    <t>ELECTROLUX</t>
  </si>
  <si>
    <t>Entregar lunes 19 de enero</t>
  </si>
  <si>
    <t>Envioada 19 de enero</t>
  </si>
  <si>
    <t>Seguimiento</t>
  </si>
  <si>
    <t>Cliente solicita un ajuste de tarifas de Almacenamiento y adiciona la cotizacion de transporte de carga</t>
  </si>
  <si>
    <t>Cliente solicita espacio de revision en Cali</t>
  </si>
  <si>
    <t>UNYSIS</t>
  </si>
  <si>
    <t>Se enviaron preguntas, sesion de aclaracon 3 febrero- Se debe entregar oferta el 18 de Febrero</t>
  </si>
  <si>
    <t>Sesion de trabajo Lunes 16 y Martes 17</t>
  </si>
  <si>
    <t>Se presento propuesta 18 de febrero</t>
  </si>
  <si>
    <t>Continua en analisis del cliente</t>
  </si>
  <si>
    <t>ARIS GESTION DE CDS MARMATO</t>
  </si>
  <si>
    <t>Visita a site cliente 3 de febrero</t>
  </si>
  <si>
    <t>Cotizar personal para gestion de dos almacenes en Marmatos Caldas y Cotizar bodega de 900 mts en pereira</t>
  </si>
  <si>
    <t>Elaborar propuesta el martes 17 de febrero para entregar 20 de febrero</t>
  </si>
  <si>
    <t>Presentada martes 3 de marzo</t>
  </si>
  <si>
    <t>En analisis por parte del cliente</t>
  </si>
  <si>
    <t>ARIS BODEGA PEREIRA</t>
  </si>
  <si>
    <t>Cliente visita bodega, muy pequeña debe ser minimo de 600 mts cuadrados.</t>
  </si>
  <si>
    <t>Clienta ya aprobo bodega, en tramite de contrato y visita seguridad (QUICK / ARIS)</t>
  </si>
  <si>
    <t>En proceso de creacion de cliente y contrato con la bodega</t>
  </si>
  <si>
    <t>GRUPO EXITO ECOMMERCE</t>
  </si>
  <si>
    <t>Se enviaron preguntas el 4 de Febrero</t>
  </si>
  <si>
    <t>Respuesta a preguntas 6 de febrero</t>
  </si>
  <si>
    <t>Sesion de trabajo el Miercoles y jueves con el Gerente de la linea de LM</t>
  </si>
  <si>
    <t>Presentada viernes 27 de febrero</t>
  </si>
  <si>
    <t>Cliente solicito aclraciones 6 de marzo</t>
  </si>
  <si>
    <t>GRUPO EXITO ALIMENTOS</t>
  </si>
  <si>
    <t>Se envia preguntas para cierre el 25 de Febrero</t>
  </si>
  <si>
    <t>AVIANCA TRANSPORTE</t>
  </si>
  <si>
    <t>Se envian preguntas el dia de hoy 13 de Febrero- pendiente confirmar fecha de entrega</t>
  </si>
  <si>
    <t>Presentar 9 de marzo</t>
  </si>
  <si>
    <t>En gestión</t>
  </si>
  <si>
    <t>INSTITUTO HUMBOLDT</t>
  </si>
  <si>
    <t>Se debe entregar 17 febrero</t>
  </si>
  <si>
    <t>En stand by por Ley de Garantías</t>
  </si>
  <si>
    <t>BBVA</t>
  </si>
  <si>
    <t>Se presento RFI viernes 27 de febrero</t>
  </si>
  <si>
    <t>NO podemos participar, RCI.  Se envía comunicacion formal al client de no participacion lunes 9 de marzo</t>
  </si>
  <si>
    <t>AMAREY MEDICAL DEVICES</t>
  </si>
  <si>
    <t>Reunion de entendimiento lunes 2 de marzo</t>
  </si>
  <si>
    <t>XIAOMI</t>
  </si>
  <si>
    <t>Se envio confirmacion de interes en participar en RFI</t>
  </si>
  <si>
    <t>Enviado el RFI</t>
  </si>
  <si>
    <t>CERROMATOSO</t>
  </si>
  <si>
    <t>PEND</t>
  </si>
  <si>
    <t>RFI en desarrollo</t>
  </si>
  <si>
    <t>D1 ECOMMERCE</t>
  </si>
  <si>
    <t>Visita operativa miercoles 3 de Marzo</t>
  </si>
  <si>
    <t>VICTORIA</t>
  </si>
  <si>
    <t>Buscando espacio con el cliente, solicito conocer portafolio de QUICK para proceso de licitacion</t>
  </si>
  <si>
    <t>Sin respuesta del cliente</t>
  </si>
  <si>
    <t>COPIDROGAS PROYECTO DS</t>
  </si>
  <si>
    <t>WH LM</t>
  </si>
  <si>
    <t>Modelo operativo DS</t>
  </si>
  <si>
    <t>En análisis de cliente</t>
  </si>
  <si>
    <t xml:space="preserve">WHIRPOL </t>
  </si>
  <si>
    <t>Se tuvo reunion con el cliente jueves 26  de febrero para que conocieran nuesra oferta de servicios,  nos invitan a dos procesos de Distribucion</t>
  </si>
  <si>
    <t>GIVAUDAN</t>
  </si>
  <si>
    <t>Carlos Pacasuca</t>
  </si>
  <si>
    <t>Analizando documentos</t>
  </si>
  <si>
    <t>Cliente extendio fecha de entrega al 20 de marzo</t>
  </si>
  <si>
    <t>INSCHAPE</t>
  </si>
  <si>
    <t xml:space="preserve">Cliente volvio a contactarnos para enviar RFP </t>
  </si>
  <si>
    <t>AMAREY MUESTRAS MEDICAS</t>
  </si>
  <si>
    <t>MOVIERON FECHA DE ENTREGA / Cambio de informacion</t>
  </si>
  <si>
    <t>BANCO DE LA REPUBLICA BIBLIOTECAS</t>
  </si>
  <si>
    <t>Operacion LM</t>
  </si>
  <si>
    <t>En gestión/Se asigna a comercial de Paqueteo por volumen bajo de facturaion.  177 entregas promedio al mes ocn un  ticket promedio de 20.000/ facturacion inferior a 4 millones / mes</t>
  </si>
  <si>
    <t>VARDI</t>
  </si>
  <si>
    <t>Se envia NDA  a firma para poder participar en Licitacion de mensajeria/ NDA Enviado al cliente lunes 9 de marzo</t>
  </si>
  <si>
    <t>RICOH</t>
  </si>
  <si>
    <t>Aceptaron mover fecha de entrega al lunes 16 de marzo</t>
  </si>
  <si>
    <t>OBOTICARIO</t>
  </si>
  <si>
    <t>Envían pliegos lunes 9 de marzo y reunion de entendimiento del negocio martes 10 de Marzo</t>
  </si>
  <si>
    <t>FEMSA MEDELLIN</t>
  </si>
  <si>
    <t>Analisis de data/ La va a trabajar directamente la operacion</t>
  </si>
  <si>
    <t>BANCO AGRARIO</t>
  </si>
  <si>
    <t xml:space="preserve">Full paqueteo a todos los municipios en donde el Banco tiene sucursal, no aplica al modelo actual de QUICK </t>
  </si>
  <si>
    <t xml:space="preserve">Descripción General </t>
  </si>
  <si>
    <t xml:space="preserve">Asignado a </t>
  </si>
  <si>
    <t>SEGUIMIENTO A 12 FEBRERO</t>
  </si>
  <si>
    <t>SEGUIMIENTO A 3 de Marzo</t>
  </si>
  <si>
    <t>CARGILL MEDELLIN</t>
  </si>
  <si>
    <t>10 UNIDADES REFRIGERADAS FIJAS</t>
  </si>
  <si>
    <t>En reunion 12 feb cliente infomra estar 12% arriba de sus tarifas, se debe ajustar</t>
  </si>
  <si>
    <t>Se presento nueva oferta y estamos en negociacion</t>
  </si>
  <si>
    <t>En revision por parte del cliente</t>
  </si>
  <si>
    <t>CARGILL BMANGA</t>
  </si>
  <si>
    <t>23 UNIDADES REFRIGERADAS FIJAS</t>
  </si>
  <si>
    <t>En revision por parte del cliente, prioridad Mllin y comodatos</t>
  </si>
  <si>
    <t>El cliente envia correo con solicitud de incluir nuevas rutas</t>
  </si>
  <si>
    <t>CARGILL FLOTA PROPIA EN COMODATO</t>
  </si>
  <si>
    <t>5 UNIDADES EN COMODATO</t>
  </si>
  <si>
    <t>Se presento propuesta 12 febrero, se deben hacer ajustes en aslgunos items y volver a enviar 13 de febrero</t>
  </si>
  <si>
    <t>Se presento propuesta 12 febrero, se deben hacer ajustes en aslgunos items y volver a enviar 13 de febrero, en negociacion</t>
  </si>
  <si>
    <t>POLLOS FRIKO</t>
  </si>
  <si>
    <t xml:space="preserve">Erika Gonzalez </t>
  </si>
  <si>
    <t>15 UNIDADES REFRIGERADAS EN TOCANCIPA</t>
  </si>
  <si>
    <t>Retomar Contacto</t>
  </si>
  <si>
    <t>Se inicio labor de contactacion de nuevo con Director distribucion</t>
  </si>
  <si>
    <t>CHEMYUNION</t>
  </si>
  <si>
    <t>Operación WH &amp; UD</t>
  </si>
  <si>
    <t>Se presento propuesta 12 de feb y nos visitaron en Alamos. Enviaran feeback y se debe ajustar propuesta, incluir transporte nacional</t>
  </si>
  <si>
    <t>Aun no hemos recibido feedback de visita,  pte informacion del cliente para ajustar propuesta</t>
  </si>
  <si>
    <t>STERIS COLOMBIA</t>
  </si>
  <si>
    <t>Misma operación inicial de CDMX</t>
  </si>
  <si>
    <t xml:space="preserve">Juan D </t>
  </si>
  <si>
    <t>reunion con Quick Mexico, entendimiento de la operación. Pam enviara data y precios de operación, construir oferta COL</t>
  </si>
  <si>
    <t>Se envía propuesta martes 3 de Marzo</t>
  </si>
  <si>
    <t>Se presento oferta 4 de marzo proyecto que tiene un plazo de 3 meses por temas de licencias</t>
  </si>
  <si>
    <t>ORGANIZACIÓN CARDENAS</t>
  </si>
  <si>
    <t>10 VEHICULOS NHR BOGOTA</t>
  </si>
  <si>
    <t>Se envió oferta al cliente</t>
  </si>
  <si>
    <t>Cliente nos pide agendar espacio para semana del 9 de marzo a la Gerencia de logistica</t>
  </si>
  <si>
    <t>Cliente nos pide agendar espacio para semana del 9 de marzo a la Gerencia de logistica, pendiente confirmar agenda por parte del cliente</t>
  </si>
  <si>
    <t>TECNOQUIMICAS</t>
  </si>
  <si>
    <t>15 VEHICULOS MEDELLIN</t>
  </si>
  <si>
    <t>Se envia oferta viernes 13 de feb</t>
  </si>
  <si>
    <t>Cliente confirma el feedback, lo cual estamos por encima de las tarifas target, se propone realizar una prueba piloto por 2 semanas para analizar en conjunto.</t>
  </si>
  <si>
    <t>RECAMIER</t>
  </si>
  <si>
    <t>COTIZAR DISTRIBUCION Y CROSS</t>
  </si>
  <si>
    <t>Se programa visita semana 23 de febrero</t>
  </si>
  <si>
    <t>Contacto en Ecuador y me pide una semana mas para vernos en su CD</t>
  </si>
  <si>
    <t>AVICOLA MILUC</t>
  </si>
  <si>
    <t>8 UNIDADES REFRIGERADAS BOGOTA</t>
  </si>
  <si>
    <t>Revison de trarifas con cliente semana 16 feb</t>
  </si>
  <si>
    <t>Cerramos negociacion por no llegar al target del cliente,  fuera de mercado</t>
  </si>
  <si>
    <t>UCCLOG</t>
  </si>
  <si>
    <t>300 TEUS / MES ELECTRO</t>
  </si>
  <si>
    <t>Se entrega licitaicon de LH 12 FEB</t>
  </si>
  <si>
    <t>No quedamos por tarifas</t>
  </si>
  <si>
    <t>Distribucion electro canal retail</t>
  </si>
  <si>
    <t>Si hay posibilidad,  sem 9 de marzo reunion con el cliente</t>
  </si>
  <si>
    <t>Cliente envia correo de revision de oferta y borrador de contrato para revision</t>
  </si>
  <si>
    <t>D1 Distribución</t>
  </si>
  <si>
    <t>30 unidades mas en otros CDS</t>
  </si>
  <si>
    <t>Cliente pide revisar tarifas según feedback foco a PEREITA -TOCANCIPA</t>
  </si>
  <si>
    <t>Solicitamos espacio con comprador para definir PEREIRA y Bquilla</t>
  </si>
  <si>
    <t>Miercoles 4 de Mrazo reunion, dio feedback, nos solicita realizar ajuste con rutas de compensacion.</t>
  </si>
  <si>
    <t>EXPO/IMPI DECORCERAMICA</t>
  </si>
  <si>
    <t>200 Contenedores BUN/YUMBO</t>
  </si>
  <si>
    <t>Se logro llegar al taget del cliente,  pendiente asignacion formal</t>
  </si>
  <si>
    <t>Cliente confirma aprobacion de tarifas el cual se esta alineando arranque para la semana del 9 al 14 de Marzo</t>
  </si>
  <si>
    <t>RUEDA VERDE</t>
  </si>
  <si>
    <t>Flota dedicada enoperacion urbana / nacional</t>
  </si>
  <si>
    <t>Negocio que trae Carlos de ALDIA</t>
  </si>
  <si>
    <t>Cliente nos agenda presentacion de la propuesta para el martes 17 de Marzo</t>
  </si>
  <si>
    <t xml:space="preserve">Coexito PDistribucion Llantas </t>
  </si>
  <si>
    <t>Distribucion Modelo de llantas nacional</t>
  </si>
  <si>
    <t>Nuevo negocio con cliente de Carga</t>
  </si>
  <si>
    <t>ARGOS</t>
  </si>
  <si>
    <t>Posicionamieto de flota fija coredores desde Rioclaro</t>
  </si>
  <si>
    <t xml:space="preserve">Se tuvo reunion con el cliente el martes 10 de marzo,  se deben presentar tarifas en corredores de interes para QUICK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</si>
</sst>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&quot;$&quot;#,##0"/>
  </numFmts>
  <fonts count="12" x14ac:knownFonts="1">
    <font>
      <sz val="11"/>
      <color theme="1"/>
      <name val="Calibri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1734B"/>
      <name val="Arial"/>
      <family val="2"/>
    </font>
    <font>
      <sz val="11"/>
      <color rgb="FFFFCFC9"/>
      <name val="Arial"/>
      <family val="2"/>
    </font>
    <font>
      <sz val="11"/>
      <color rgb="FFD4EDBC"/>
      <name val="Arial"/>
      <family val="2"/>
    </font>
    <font>
      <sz val="11"/>
      <color rgb="FFBFE0F6"/>
      <name val="Arial"/>
      <family val="2"/>
    </font>
    <font>
      <sz val="11"/>
      <color rgb="FF473821"/>
      <name val="Arial"/>
      <family val="2"/>
    </font>
    <font>
      <sz val="11"/>
      <color rgb="FF0A53A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14" fontId="2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9" fontId="2" fillId="3" borderId="1" xfId="0" applyNumberFormat="1" applyFont="1" applyFill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left" wrapText="1"/>
    </xf>
    <xf numFmtId="0" fontId="9" fillId="0" borderId="1" xfId="0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164" fontId="2" fillId="3" borderId="1" xfId="0" applyNumberFormat="1" applyFont="1" applyFill="1" applyBorder="1"/>
    <xf numFmtId="164" fontId="2" fillId="3" borderId="1" xfId="0" applyNumberFormat="1" applyFont="1" applyFill="1" applyBorder="1" applyAlignment="1">
      <alignment wrapText="1"/>
    </xf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0" borderId="0" xfId="0" applyFont="1"/>
    <xf numFmtId="0" fontId="2" fillId="0" borderId="1" xfId="0" applyFont="1" applyBorder="1" applyAlignment="1">
      <alignment horizontal="left"/>
    </xf>
    <xf numFmtId="14" fontId="2" fillId="0" borderId="1" xfId="0" applyNumberFormat="1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3" fillId="0" borderId="3" xfId="0" applyFont="1" applyBorder="1" applyAlignment="1">
      <alignment horizontal="left" wrapText="1"/>
    </xf>
    <xf numFmtId="164" fontId="3" fillId="0" borderId="3" xfId="0" applyNumberFormat="1" applyFont="1" applyBorder="1"/>
    <xf numFmtId="164" fontId="3" fillId="0" borderId="3" xfId="0" applyNumberFormat="1" applyFont="1" applyBorder="1" applyAlignment="1">
      <alignment wrapText="1"/>
    </xf>
    <xf numFmtId="0" fontId="10" fillId="0" borderId="0" xfId="0" applyFont="1" applyAlignment="1">
      <alignment horizontal="left"/>
    </xf>
    <xf numFmtId="164" fontId="10" fillId="0" borderId="0" xfId="0" applyNumberFormat="1" applyFont="1"/>
    <xf numFmtId="0" fontId="1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3" fillId="3" borderId="1" xfId="0" applyNumberFormat="1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horizontal="left" wrapText="1"/>
    </xf>
    <xf numFmtId="3" fontId="3" fillId="0" borderId="1" xfId="0" applyNumberFormat="1" applyFont="1" applyBorder="1" applyAlignment="1">
      <alignment horizontal="center" wrapText="1"/>
    </xf>
    <xf numFmtId="165" fontId="3" fillId="0" borderId="1" xfId="0" applyNumberFormat="1" applyFont="1" applyBorder="1" applyAlignment="1">
      <alignment horizontal="right" wrapText="1"/>
    </xf>
    <xf numFmtId="165" fontId="3" fillId="0" borderId="1" xfId="0" applyNumberFormat="1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9" fontId="3" fillId="0" borderId="1" xfId="0" applyNumberFormat="1" applyFont="1" applyBorder="1" applyAlignment="1">
      <alignment horizontal="right" wrapText="1"/>
    </xf>
    <xf numFmtId="16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10" fillId="0" borderId="0" xfId="0" applyFont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9"/>
  <sheetViews>
    <sheetView tabSelected="1" topLeftCell="B1" workbookViewId="0">
      <selection activeCell="E83" sqref="E83"/>
    </sheetView>
  </sheetViews>
  <sheetFormatPr baseColWidth="10" defaultColWidth="14.44140625" defaultRowHeight="15" customHeight="1" x14ac:dyDescent="0.3"/>
  <cols>
    <col min="1" max="1" width="13" customWidth="1"/>
    <col min="2" max="2" width="29" customWidth="1"/>
    <col min="3" max="3" width="11" style="68" customWidth="1"/>
    <col min="4" max="4" width="8.33203125" customWidth="1"/>
    <col min="5" max="5" width="14.6640625" customWidth="1"/>
    <col min="6" max="6" width="17.109375" customWidth="1"/>
    <col min="7" max="7" width="16.6640625" customWidth="1"/>
    <col min="8" max="8" width="21.88671875" customWidth="1"/>
    <col min="9" max="9" width="17" customWidth="1"/>
    <col min="10" max="10" width="16.88671875" customWidth="1"/>
    <col min="11" max="11" width="11.109375" customWidth="1"/>
    <col min="12" max="12" width="17.5546875" customWidth="1"/>
    <col min="13" max="13" width="57.88671875" hidden="1" customWidth="1"/>
    <col min="14" max="14" width="50.5546875" hidden="1" customWidth="1"/>
    <col min="15" max="15" width="94.5546875" hidden="1" customWidth="1"/>
    <col min="16" max="16" width="105.109375" hidden="1" customWidth="1"/>
    <col min="17" max="20" width="10.6640625" hidden="1" customWidth="1"/>
    <col min="21" max="21" width="35.33203125" hidden="1" customWidth="1"/>
    <col min="22" max="22" width="35.88671875" customWidth="1"/>
    <col min="23" max="23" width="27.6640625" customWidth="1"/>
    <col min="24" max="39" width="10.6640625" customWidth="1"/>
  </cols>
  <sheetData>
    <row r="1" spans="1:39" ht="58.5" customHeight="1" x14ac:dyDescent="0.3">
      <c r="A1" s="1" t="s">
        <v>0</v>
      </c>
      <c r="B1" s="53" t="s">
        <v>1</v>
      </c>
      <c r="C1" s="5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1" t="s">
        <v>22</v>
      </c>
      <c r="X1" s="5" t="s">
        <v>23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39" ht="13.5" customHeight="1" x14ac:dyDescent="0.3">
      <c r="A2" s="7">
        <v>45894</v>
      </c>
      <c r="B2" s="8" t="s">
        <v>24</v>
      </c>
      <c r="C2" s="9" t="s">
        <v>25</v>
      </c>
      <c r="D2" s="10">
        <v>12</v>
      </c>
      <c r="E2" s="11">
        <v>100000000</v>
      </c>
      <c r="F2" s="11">
        <f t="shared" ref="F2:F66" si="0">D2*E2</f>
        <v>1200000000</v>
      </c>
      <c r="G2" s="10" t="s">
        <v>26</v>
      </c>
      <c r="H2" s="12" t="s">
        <v>27</v>
      </c>
      <c r="I2" s="13" t="s">
        <v>28</v>
      </c>
      <c r="J2" s="14">
        <v>0.25</v>
      </c>
      <c r="K2" s="15"/>
      <c r="L2" s="7">
        <v>45847</v>
      </c>
      <c r="M2" s="9" t="s">
        <v>29</v>
      </c>
      <c r="N2" s="16" t="s">
        <v>30</v>
      </c>
      <c r="O2" s="16" t="s">
        <v>31</v>
      </c>
      <c r="P2" s="16" t="s">
        <v>32</v>
      </c>
      <c r="Q2" s="16" t="s">
        <v>33</v>
      </c>
      <c r="R2" s="16" t="s">
        <v>34</v>
      </c>
      <c r="S2" s="16" t="s">
        <v>34</v>
      </c>
      <c r="T2" s="16" t="s">
        <v>35</v>
      </c>
      <c r="U2" s="17" t="s">
        <v>36</v>
      </c>
      <c r="V2" s="18" t="s">
        <v>37</v>
      </c>
      <c r="W2" s="18"/>
      <c r="X2" s="19" t="str">
        <f t="shared" ref="X2:X76" ca="1" si="1">IFERROR(_xludf.IFS(
H2="CANCELADO",0,
H2="PRESENTADA",1,
H2="EN CONSTRUCCION",2,
H2="GANADA",3,
H2="PERDIDA",4,
H2="NO PRESENTADA",5,
H2="DECLINADA",6,
H2="Fase Preliminar",7,
H2="Retomar Contacto",8
),"")</f>
        <v/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ht="13.5" customHeight="1" x14ac:dyDescent="0.3">
      <c r="A3" s="7">
        <v>45839</v>
      </c>
      <c r="B3" s="9" t="s">
        <v>38</v>
      </c>
      <c r="C3" s="9" t="s">
        <v>39</v>
      </c>
      <c r="D3" s="10"/>
      <c r="E3" s="11">
        <v>200000000</v>
      </c>
      <c r="F3" s="11">
        <f t="shared" si="0"/>
        <v>0</v>
      </c>
      <c r="G3" s="10" t="s">
        <v>26</v>
      </c>
      <c r="H3" s="20" t="s">
        <v>40</v>
      </c>
      <c r="I3" s="21"/>
      <c r="J3" s="15"/>
      <c r="K3" s="15"/>
      <c r="L3" s="7">
        <v>45841</v>
      </c>
      <c r="M3" s="22" t="s">
        <v>41</v>
      </c>
      <c r="N3" s="16"/>
      <c r="O3" s="16"/>
      <c r="P3" s="16"/>
      <c r="Q3" s="16"/>
      <c r="R3" s="16"/>
      <c r="S3" s="16"/>
      <c r="T3" s="16"/>
      <c r="U3" s="17"/>
      <c r="V3" s="19"/>
      <c r="W3" s="19"/>
      <c r="X3" s="19" t="str">
        <f t="shared" ca="1" si="1"/>
        <v/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ht="13.5" customHeight="1" x14ac:dyDescent="0.3">
      <c r="A4" s="7">
        <v>45839</v>
      </c>
      <c r="B4" s="9" t="s">
        <v>42</v>
      </c>
      <c r="C4" s="9" t="s">
        <v>43</v>
      </c>
      <c r="D4" s="10"/>
      <c r="E4" s="11">
        <v>0</v>
      </c>
      <c r="F4" s="11">
        <f t="shared" si="0"/>
        <v>0</v>
      </c>
      <c r="G4" s="10" t="s">
        <v>44</v>
      </c>
      <c r="H4" s="20" t="s">
        <v>40</v>
      </c>
      <c r="I4" s="21"/>
      <c r="J4" s="15"/>
      <c r="K4" s="15"/>
      <c r="L4" s="7">
        <v>45905</v>
      </c>
      <c r="M4" s="22" t="s">
        <v>45</v>
      </c>
      <c r="N4" s="16"/>
      <c r="O4" s="16"/>
      <c r="P4" s="16"/>
      <c r="Q4" s="16"/>
      <c r="R4" s="16"/>
      <c r="S4" s="16"/>
      <c r="T4" s="16"/>
      <c r="U4" s="17"/>
      <c r="V4" s="19"/>
      <c r="W4" s="19"/>
      <c r="X4" s="19" t="str">
        <f t="shared" ca="1" si="1"/>
        <v/>
      </c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 spans="1:39" ht="13.5" customHeight="1" x14ac:dyDescent="0.3">
      <c r="A5" s="7">
        <v>45839</v>
      </c>
      <c r="B5" s="9" t="s">
        <v>46</v>
      </c>
      <c r="C5" s="9" t="s">
        <v>47</v>
      </c>
      <c r="D5" s="10"/>
      <c r="E5" s="11">
        <v>0</v>
      </c>
      <c r="F5" s="11">
        <f t="shared" si="0"/>
        <v>0</v>
      </c>
      <c r="G5" s="10" t="s">
        <v>48</v>
      </c>
      <c r="H5" s="20" t="s">
        <v>40</v>
      </c>
      <c r="I5" s="21"/>
      <c r="J5" s="15"/>
      <c r="K5" s="15"/>
      <c r="L5" s="7">
        <v>45889</v>
      </c>
      <c r="M5" s="9" t="s">
        <v>49</v>
      </c>
      <c r="N5" s="16"/>
      <c r="O5" s="16"/>
      <c r="P5" s="16"/>
      <c r="Q5" s="16"/>
      <c r="R5" s="16"/>
      <c r="S5" s="16"/>
      <c r="T5" s="16"/>
      <c r="U5" s="17"/>
      <c r="V5" s="19"/>
      <c r="W5" s="19"/>
      <c r="X5" s="19" t="str">
        <f t="shared" ca="1" si="1"/>
        <v/>
      </c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ht="13.5" customHeight="1" x14ac:dyDescent="0.3">
      <c r="A6" s="7">
        <v>45879</v>
      </c>
      <c r="B6" s="8" t="s">
        <v>50</v>
      </c>
      <c r="C6" s="9" t="s">
        <v>47</v>
      </c>
      <c r="D6" s="10">
        <v>12</v>
      </c>
      <c r="E6" s="11">
        <v>30000000</v>
      </c>
      <c r="F6" s="11">
        <f t="shared" si="0"/>
        <v>360000000</v>
      </c>
      <c r="G6" s="10" t="s">
        <v>51</v>
      </c>
      <c r="H6" s="12" t="s">
        <v>27</v>
      </c>
      <c r="I6" s="13" t="s">
        <v>28</v>
      </c>
      <c r="J6" s="14">
        <v>0.25</v>
      </c>
      <c r="K6" s="15"/>
      <c r="L6" s="7">
        <v>45884</v>
      </c>
      <c r="M6" s="9" t="s">
        <v>52</v>
      </c>
      <c r="N6" s="23" t="s">
        <v>53</v>
      </c>
      <c r="O6" s="16"/>
      <c r="P6" s="16" t="s">
        <v>54</v>
      </c>
      <c r="Q6" s="16" t="s">
        <v>55</v>
      </c>
      <c r="R6" s="16" t="s">
        <v>56</v>
      </c>
      <c r="S6" s="16" t="s">
        <v>57</v>
      </c>
      <c r="T6" s="16" t="s">
        <v>58</v>
      </c>
      <c r="U6" s="17" t="s">
        <v>59</v>
      </c>
      <c r="V6" s="18" t="s">
        <v>60</v>
      </c>
      <c r="W6" s="18"/>
      <c r="X6" s="19" t="str">
        <f t="shared" ca="1" si="1"/>
        <v/>
      </c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ht="13.5" customHeight="1" x14ac:dyDescent="0.3">
      <c r="A7" s="7">
        <v>45848</v>
      </c>
      <c r="B7" s="9" t="s">
        <v>61</v>
      </c>
      <c r="C7" s="9" t="s">
        <v>47</v>
      </c>
      <c r="D7" s="10"/>
      <c r="E7" s="11">
        <v>0</v>
      </c>
      <c r="F7" s="11">
        <f t="shared" si="0"/>
        <v>0</v>
      </c>
      <c r="G7" s="10" t="s">
        <v>48</v>
      </c>
      <c r="H7" s="20" t="s">
        <v>40</v>
      </c>
      <c r="I7" s="21"/>
      <c r="J7" s="15"/>
      <c r="K7" s="15"/>
      <c r="L7" s="7">
        <v>45944</v>
      </c>
      <c r="M7" s="9" t="s">
        <v>62</v>
      </c>
      <c r="N7" s="16"/>
      <c r="O7" s="16"/>
      <c r="P7" s="16"/>
      <c r="Q7" s="16"/>
      <c r="R7" s="16"/>
      <c r="S7" s="16"/>
      <c r="T7" s="16"/>
      <c r="U7" s="17"/>
      <c r="V7" s="19"/>
      <c r="W7" s="19"/>
      <c r="X7" s="19" t="str">
        <f t="shared" ca="1" si="1"/>
        <v/>
      </c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ht="13.5" customHeight="1" x14ac:dyDescent="0.3">
      <c r="A8" s="7">
        <v>45853</v>
      </c>
      <c r="B8" s="9" t="s">
        <v>63</v>
      </c>
      <c r="C8" s="9" t="s">
        <v>43</v>
      </c>
      <c r="D8" s="10">
        <v>12</v>
      </c>
      <c r="E8" s="11">
        <v>550000000</v>
      </c>
      <c r="F8" s="11">
        <f t="shared" si="0"/>
        <v>6600000000</v>
      </c>
      <c r="G8" s="10" t="s">
        <v>51</v>
      </c>
      <c r="H8" s="20" t="s">
        <v>64</v>
      </c>
      <c r="I8" s="13" t="s">
        <v>65</v>
      </c>
      <c r="J8" s="14">
        <v>1</v>
      </c>
      <c r="K8" s="15"/>
      <c r="L8" s="7">
        <v>45853</v>
      </c>
      <c r="M8" s="22"/>
      <c r="N8" s="16"/>
      <c r="O8" s="16"/>
      <c r="P8" s="16"/>
      <c r="Q8" s="16"/>
      <c r="R8" s="16"/>
      <c r="S8" s="16"/>
      <c r="T8" s="16"/>
      <c r="U8" s="17"/>
      <c r="V8" s="19" t="s">
        <v>66</v>
      </c>
      <c r="W8" s="19"/>
      <c r="X8" s="19" t="str">
        <f t="shared" ca="1" si="1"/>
        <v/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</row>
    <row r="9" spans="1:39" ht="13.5" customHeight="1" x14ac:dyDescent="0.3">
      <c r="A9" s="7">
        <v>45853</v>
      </c>
      <c r="B9" s="9" t="s">
        <v>67</v>
      </c>
      <c r="C9" s="9" t="s">
        <v>47</v>
      </c>
      <c r="D9" s="10"/>
      <c r="E9" s="11">
        <v>145000000</v>
      </c>
      <c r="F9" s="11">
        <f t="shared" si="0"/>
        <v>0</v>
      </c>
      <c r="G9" s="10" t="s">
        <v>48</v>
      </c>
      <c r="H9" s="20" t="s">
        <v>40</v>
      </c>
      <c r="I9" s="21"/>
      <c r="J9" s="15"/>
      <c r="K9" s="15"/>
      <c r="L9" s="7">
        <v>45881</v>
      </c>
      <c r="M9" s="22" t="s">
        <v>68</v>
      </c>
      <c r="N9" s="16"/>
      <c r="O9" s="16"/>
      <c r="P9" s="16"/>
      <c r="Q9" s="16"/>
      <c r="R9" s="16"/>
      <c r="S9" s="16"/>
      <c r="T9" s="16"/>
      <c r="U9" s="17"/>
      <c r="V9" s="19"/>
      <c r="W9" s="19"/>
      <c r="X9" s="19" t="str">
        <f t="shared" ca="1" si="1"/>
        <v/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spans="1:39" ht="13.5" customHeight="1" x14ac:dyDescent="0.3">
      <c r="A10" s="7">
        <v>45970</v>
      </c>
      <c r="B10" s="9" t="s">
        <v>69</v>
      </c>
      <c r="C10" s="9" t="s">
        <v>47</v>
      </c>
      <c r="D10" s="10"/>
      <c r="E10" s="11">
        <v>72000000</v>
      </c>
      <c r="F10" s="11">
        <f t="shared" si="0"/>
        <v>0</v>
      </c>
      <c r="G10" s="10" t="s">
        <v>48</v>
      </c>
      <c r="H10" s="24" t="s">
        <v>64</v>
      </c>
      <c r="I10" s="21"/>
      <c r="J10" s="15"/>
      <c r="K10" s="15"/>
      <c r="L10" s="7">
        <v>45854</v>
      </c>
      <c r="M10" s="22" t="s">
        <v>70</v>
      </c>
      <c r="N10" s="16"/>
      <c r="O10" s="16"/>
      <c r="P10" s="16"/>
      <c r="Q10" s="16"/>
      <c r="R10" s="16"/>
      <c r="S10" s="16" t="s">
        <v>71</v>
      </c>
      <c r="T10" s="16"/>
      <c r="U10" s="17"/>
      <c r="V10" s="19"/>
      <c r="W10" s="19"/>
      <c r="X10" s="19" t="str">
        <f t="shared" ca="1" si="1"/>
        <v/>
      </c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 spans="1:39" ht="13.5" customHeight="1" x14ac:dyDescent="0.3">
      <c r="A11" s="7">
        <v>45730</v>
      </c>
      <c r="B11" s="9" t="s">
        <v>72</v>
      </c>
      <c r="C11" s="9" t="s">
        <v>47</v>
      </c>
      <c r="D11" s="10"/>
      <c r="E11" s="11">
        <v>14000000</v>
      </c>
      <c r="F11" s="11">
        <f t="shared" si="0"/>
        <v>0</v>
      </c>
      <c r="G11" s="10" t="s">
        <v>48</v>
      </c>
      <c r="H11" s="24" t="s">
        <v>64</v>
      </c>
      <c r="I11" s="21"/>
      <c r="J11" s="15"/>
      <c r="K11" s="15"/>
      <c r="L11" s="7">
        <v>45860</v>
      </c>
      <c r="M11" s="22" t="s">
        <v>73</v>
      </c>
      <c r="N11" s="16"/>
      <c r="O11" s="16"/>
      <c r="P11" s="16"/>
      <c r="Q11" s="16"/>
      <c r="R11" s="16"/>
      <c r="S11" s="16" t="s">
        <v>74</v>
      </c>
      <c r="T11" s="16"/>
      <c r="U11" s="17"/>
      <c r="V11" s="19"/>
      <c r="W11" s="19"/>
      <c r="X11" s="19" t="str">
        <f t="shared" ca="1" si="1"/>
        <v/>
      </c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</row>
    <row r="12" spans="1:39" ht="13.5" customHeight="1" x14ac:dyDescent="0.3">
      <c r="A12" s="7">
        <v>45816</v>
      </c>
      <c r="B12" s="9" t="s">
        <v>75</v>
      </c>
      <c r="C12" s="9" t="s">
        <v>76</v>
      </c>
      <c r="D12" s="10"/>
      <c r="E12" s="11">
        <v>80000000</v>
      </c>
      <c r="F12" s="11">
        <f t="shared" si="0"/>
        <v>0</v>
      </c>
      <c r="G12" s="10" t="s">
        <v>51</v>
      </c>
      <c r="H12" s="20" t="s">
        <v>40</v>
      </c>
      <c r="I12" s="21"/>
      <c r="J12" s="15"/>
      <c r="K12" s="15"/>
      <c r="L12" s="7">
        <v>45876</v>
      </c>
      <c r="M12" s="9" t="s">
        <v>77</v>
      </c>
      <c r="N12" s="16" t="s">
        <v>78</v>
      </c>
      <c r="O12" s="23" t="s">
        <v>79</v>
      </c>
      <c r="P12" s="16"/>
      <c r="Q12" s="16"/>
      <c r="R12" s="16"/>
      <c r="S12" s="16"/>
      <c r="T12" s="16"/>
      <c r="U12" s="17"/>
      <c r="V12" s="19"/>
      <c r="W12" s="19"/>
      <c r="X12" s="19" t="str">
        <f t="shared" ca="1" si="1"/>
        <v/>
      </c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</row>
    <row r="13" spans="1:39" ht="13.5" customHeight="1" x14ac:dyDescent="0.3">
      <c r="A13" s="7">
        <v>45910</v>
      </c>
      <c r="B13" s="9" t="s">
        <v>80</v>
      </c>
      <c r="C13" s="9" t="s">
        <v>39</v>
      </c>
      <c r="D13" s="10"/>
      <c r="E13" s="11">
        <v>120000000</v>
      </c>
      <c r="F13" s="11">
        <f t="shared" si="0"/>
        <v>0</v>
      </c>
      <c r="G13" s="10" t="s">
        <v>51</v>
      </c>
      <c r="H13" s="24" t="s">
        <v>64</v>
      </c>
      <c r="I13" s="13" t="s">
        <v>65</v>
      </c>
      <c r="J13" s="15"/>
      <c r="K13" s="15"/>
      <c r="L13" s="7">
        <v>45930</v>
      </c>
      <c r="M13" s="9" t="s">
        <v>81</v>
      </c>
      <c r="N13" s="16" t="s">
        <v>78</v>
      </c>
      <c r="O13" s="16" t="s">
        <v>82</v>
      </c>
      <c r="P13" s="16" t="s">
        <v>83</v>
      </c>
      <c r="Q13" s="16"/>
      <c r="R13" s="16"/>
      <c r="S13" s="16" t="s">
        <v>71</v>
      </c>
      <c r="T13" s="16"/>
      <c r="U13" s="17"/>
      <c r="V13" s="19"/>
      <c r="W13" s="19"/>
      <c r="X13" s="19" t="str">
        <f t="shared" ca="1" si="1"/>
        <v/>
      </c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ht="13.5" customHeight="1" x14ac:dyDescent="0.3">
      <c r="A14" s="7">
        <v>45950</v>
      </c>
      <c r="B14" s="9" t="s">
        <v>84</v>
      </c>
      <c r="C14" s="9" t="s">
        <v>43</v>
      </c>
      <c r="D14" s="10"/>
      <c r="E14" s="11">
        <v>100000000</v>
      </c>
      <c r="F14" s="11">
        <f t="shared" si="0"/>
        <v>0</v>
      </c>
      <c r="G14" s="10" t="s">
        <v>85</v>
      </c>
      <c r="H14" s="9" t="s">
        <v>86</v>
      </c>
      <c r="I14" s="21"/>
      <c r="J14" s="15"/>
      <c r="K14" s="15"/>
      <c r="L14" s="7">
        <v>45894</v>
      </c>
      <c r="M14" s="9" t="s">
        <v>87</v>
      </c>
      <c r="N14" s="16"/>
      <c r="O14" s="16"/>
      <c r="P14" s="16" t="s">
        <v>88</v>
      </c>
      <c r="Q14" s="16"/>
      <c r="R14" s="23" t="s">
        <v>89</v>
      </c>
      <c r="S14" s="16"/>
      <c r="T14" s="16"/>
      <c r="U14" s="17"/>
      <c r="V14" s="19"/>
      <c r="W14" s="19"/>
      <c r="X14" s="19" t="str">
        <f t="shared" ca="1" si="1"/>
        <v/>
      </c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</row>
    <row r="15" spans="1:39" ht="13.5" customHeight="1" x14ac:dyDescent="0.3">
      <c r="A15" s="7">
        <v>45912</v>
      </c>
      <c r="B15" s="9" t="s">
        <v>90</v>
      </c>
      <c r="C15" s="9" t="s">
        <v>76</v>
      </c>
      <c r="D15" s="10"/>
      <c r="E15" s="11">
        <v>30000000</v>
      </c>
      <c r="F15" s="11">
        <f t="shared" si="0"/>
        <v>0</v>
      </c>
      <c r="G15" s="10" t="s">
        <v>85</v>
      </c>
      <c r="H15" s="24" t="s">
        <v>64</v>
      </c>
      <c r="I15" s="13" t="s">
        <v>28</v>
      </c>
      <c r="J15" s="15"/>
      <c r="K15" s="15"/>
      <c r="L15" s="7">
        <v>45889</v>
      </c>
      <c r="M15" s="22" t="s">
        <v>91</v>
      </c>
      <c r="N15" s="16"/>
      <c r="O15" s="16"/>
      <c r="P15" s="16"/>
      <c r="Q15" s="16"/>
      <c r="R15" s="16"/>
      <c r="S15" s="16" t="s">
        <v>74</v>
      </c>
      <c r="T15" s="16"/>
      <c r="U15" s="17"/>
      <c r="V15" s="19"/>
      <c r="W15" s="19"/>
      <c r="X15" s="19" t="str">
        <f t="shared" ca="1" si="1"/>
        <v/>
      </c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</row>
    <row r="16" spans="1:39" ht="13.5" customHeight="1" x14ac:dyDescent="0.3">
      <c r="A16" s="7">
        <v>45757</v>
      </c>
      <c r="B16" s="9" t="s">
        <v>92</v>
      </c>
      <c r="C16" s="9" t="s">
        <v>25</v>
      </c>
      <c r="D16" s="10"/>
      <c r="E16" s="11">
        <v>100000000</v>
      </c>
      <c r="F16" s="11">
        <f t="shared" si="0"/>
        <v>0</v>
      </c>
      <c r="G16" s="10" t="s">
        <v>93</v>
      </c>
      <c r="H16" s="20" t="s">
        <v>40</v>
      </c>
      <c r="I16" s="21"/>
      <c r="J16" s="15"/>
      <c r="K16" s="15"/>
      <c r="L16" s="7">
        <v>45850</v>
      </c>
      <c r="M16" s="9" t="s">
        <v>94</v>
      </c>
      <c r="N16" s="16"/>
      <c r="O16" s="16"/>
      <c r="P16" s="16"/>
      <c r="Q16" s="16"/>
      <c r="R16" s="16"/>
      <c r="S16" s="16"/>
      <c r="T16" s="16"/>
      <c r="U16" s="17"/>
      <c r="V16" s="19"/>
      <c r="W16" s="19"/>
      <c r="X16" s="19" t="str">
        <f t="shared" ca="1" si="1"/>
        <v/>
      </c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</row>
    <row r="17" spans="1:39" ht="13.5" customHeight="1" x14ac:dyDescent="0.3">
      <c r="A17" s="7">
        <v>45762</v>
      </c>
      <c r="B17" s="9" t="s">
        <v>95</v>
      </c>
      <c r="C17" s="9" t="s">
        <v>43</v>
      </c>
      <c r="D17" s="10"/>
      <c r="E17" s="11">
        <v>50000000</v>
      </c>
      <c r="F17" s="11">
        <f t="shared" si="0"/>
        <v>0</v>
      </c>
      <c r="G17" s="10" t="s">
        <v>93</v>
      </c>
      <c r="H17" s="20" t="s">
        <v>40</v>
      </c>
      <c r="I17" s="21"/>
      <c r="J17" s="15"/>
      <c r="K17" s="15"/>
      <c r="L17" s="7">
        <v>45819</v>
      </c>
      <c r="M17" s="9" t="s">
        <v>96</v>
      </c>
      <c r="N17" s="16"/>
      <c r="O17" s="16"/>
      <c r="P17" s="16"/>
      <c r="Q17" s="16"/>
      <c r="R17" s="16"/>
      <c r="S17" s="16"/>
      <c r="T17" s="16"/>
      <c r="U17" s="17"/>
      <c r="V17" s="19"/>
      <c r="W17" s="19"/>
      <c r="X17" s="19" t="str">
        <f t="shared" ca="1" si="1"/>
        <v/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 spans="1:39" ht="13.5" customHeight="1" x14ac:dyDescent="0.3">
      <c r="A18" s="7">
        <v>45727</v>
      </c>
      <c r="B18" s="9" t="s">
        <v>97</v>
      </c>
      <c r="C18" s="9" t="s">
        <v>39</v>
      </c>
      <c r="D18" s="10"/>
      <c r="E18" s="11">
        <v>1000000000</v>
      </c>
      <c r="F18" s="11">
        <f t="shared" si="0"/>
        <v>0</v>
      </c>
      <c r="G18" s="10" t="s">
        <v>51</v>
      </c>
      <c r="H18" s="20" t="s">
        <v>40</v>
      </c>
      <c r="I18" s="21"/>
      <c r="J18" s="15"/>
      <c r="K18" s="15"/>
      <c r="L18" s="7">
        <v>45960</v>
      </c>
      <c r="M18" s="9" t="s">
        <v>98</v>
      </c>
      <c r="N18" s="16" t="s">
        <v>99</v>
      </c>
      <c r="O18" s="23" t="s">
        <v>99</v>
      </c>
      <c r="P18" s="16"/>
      <c r="Q18" s="16"/>
      <c r="R18" s="16"/>
      <c r="S18" s="16"/>
      <c r="T18" s="16"/>
      <c r="U18" s="17"/>
      <c r="V18" s="19"/>
      <c r="W18" s="19"/>
      <c r="X18" s="19" t="str">
        <f t="shared" ca="1" si="1"/>
        <v/>
      </c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</row>
    <row r="19" spans="1:39" ht="13.5" customHeight="1" x14ac:dyDescent="0.3">
      <c r="A19" s="7">
        <v>45827</v>
      </c>
      <c r="B19" s="9" t="s">
        <v>100</v>
      </c>
      <c r="C19" s="9" t="s">
        <v>76</v>
      </c>
      <c r="D19" s="10"/>
      <c r="E19" s="11">
        <v>100000000</v>
      </c>
      <c r="F19" s="11">
        <f t="shared" si="0"/>
        <v>0</v>
      </c>
      <c r="G19" s="10" t="s">
        <v>93</v>
      </c>
      <c r="H19" s="25" t="s">
        <v>101</v>
      </c>
      <c r="I19" s="21"/>
      <c r="J19" s="15"/>
      <c r="K19" s="15"/>
      <c r="L19" s="7">
        <v>45894</v>
      </c>
      <c r="M19" s="9" t="s">
        <v>102</v>
      </c>
      <c r="N19" s="16" t="s">
        <v>78</v>
      </c>
      <c r="O19" s="16" t="s">
        <v>103</v>
      </c>
      <c r="P19" s="16" t="s">
        <v>103</v>
      </c>
      <c r="Q19" s="16" t="s">
        <v>103</v>
      </c>
      <c r="R19" s="26" t="s">
        <v>104</v>
      </c>
      <c r="S19" s="16"/>
      <c r="T19" s="16"/>
      <c r="U19" s="17"/>
      <c r="V19" s="19"/>
      <c r="W19" s="19"/>
      <c r="X19" s="19" t="str">
        <f t="shared" ca="1" si="1"/>
        <v/>
      </c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ht="13.5" customHeight="1" x14ac:dyDescent="0.3">
      <c r="A20" s="7">
        <v>45990</v>
      </c>
      <c r="B20" s="27" t="s">
        <v>105</v>
      </c>
      <c r="C20" s="9" t="s">
        <v>76</v>
      </c>
      <c r="D20" s="9"/>
      <c r="E20" s="11">
        <v>30000000</v>
      </c>
      <c r="F20" s="11">
        <f t="shared" si="0"/>
        <v>0</v>
      </c>
      <c r="G20" s="9" t="s">
        <v>44</v>
      </c>
      <c r="H20" s="20" t="s">
        <v>40</v>
      </c>
      <c r="I20" s="21"/>
      <c r="J20" s="15"/>
      <c r="K20" s="15"/>
      <c r="L20" s="7">
        <v>45903</v>
      </c>
      <c r="M20" s="9" t="s">
        <v>106</v>
      </c>
      <c r="N20" s="16" t="s">
        <v>107</v>
      </c>
      <c r="O20" s="23" t="s">
        <v>108</v>
      </c>
      <c r="P20" s="16"/>
      <c r="Q20" s="16"/>
      <c r="R20" s="16"/>
      <c r="S20" s="16"/>
      <c r="T20" s="16"/>
      <c r="U20" s="17"/>
      <c r="V20" s="19"/>
      <c r="W20" s="19"/>
      <c r="X20" s="19" t="str">
        <f t="shared" ca="1" si="1"/>
        <v/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</row>
    <row r="21" spans="1:39" ht="13.5" customHeight="1" x14ac:dyDescent="0.3">
      <c r="A21" s="7">
        <v>45943</v>
      </c>
      <c r="B21" s="9" t="s">
        <v>109</v>
      </c>
      <c r="C21" s="9" t="s">
        <v>43</v>
      </c>
      <c r="D21" s="10"/>
      <c r="E21" s="11">
        <v>100000000</v>
      </c>
      <c r="F21" s="11">
        <f t="shared" si="0"/>
        <v>0</v>
      </c>
      <c r="G21" s="10" t="s">
        <v>85</v>
      </c>
      <c r="H21" s="24" t="s">
        <v>64</v>
      </c>
      <c r="I21" s="13" t="s">
        <v>28</v>
      </c>
      <c r="J21" s="15"/>
      <c r="K21" s="15"/>
      <c r="L21" s="7">
        <v>45905</v>
      </c>
      <c r="M21" s="9" t="s">
        <v>110</v>
      </c>
      <c r="N21" s="16"/>
      <c r="O21" s="16"/>
      <c r="P21" s="16"/>
      <c r="Q21" s="16"/>
      <c r="R21" s="16"/>
      <c r="S21" s="16" t="s">
        <v>74</v>
      </c>
      <c r="T21" s="16"/>
      <c r="U21" s="17"/>
      <c r="V21" s="19"/>
      <c r="W21" s="19"/>
      <c r="X21" s="19" t="str">
        <f t="shared" ca="1" si="1"/>
        <v/>
      </c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</row>
    <row r="22" spans="1:39" ht="13.5" customHeight="1" x14ac:dyDescent="0.3">
      <c r="A22" s="7">
        <v>45931</v>
      </c>
      <c r="B22" s="9" t="s">
        <v>111</v>
      </c>
      <c r="C22" s="9" t="s">
        <v>76</v>
      </c>
      <c r="D22" s="10"/>
      <c r="E22" s="11">
        <v>100000000</v>
      </c>
      <c r="F22" s="11">
        <f t="shared" si="0"/>
        <v>0</v>
      </c>
      <c r="G22" s="10" t="s">
        <v>93</v>
      </c>
      <c r="H22" s="20" t="s">
        <v>40</v>
      </c>
      <c r="I22" s="21"/>
      <c r="J22" s="15"/>
      <c r="K22" s="15"/>
      <c r="L22" s="7">
        <v>45961</v>
      </c>
      <c r="M22" s="9" t="s">
        <v>112</v>
      </c>
      <c r="N22" s="16"/>
      <c r="O22" s="16"/>
      <c r="P22" s="16"/>
      <c r="Q22" s="16"/>
      <c r="R22" s="16"/>
      <c r="S22" s="16"/>
      <c r="T22" s="16"/>
      <c r="U22" s="17"/>
      <c r="V22" s="19"/>
      <c r="W22" s="19"/>
      <c r="X22" s="19" t="str">
        <f t="shared" ca="1" si="1"/>
        <v/>
      </c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</row>
    <row r="23" spans="1:39" ht="13.5" customHeight="1" x14ac:dyDescent="0.3">
      <c r="A23" s="7">
        <v>45973</v>
      </c>
      <c r="B23" s="17" t="s">
        <v>113</v>
      </c>
      <c r="C23" s="9" t="s">
        <v>114</v>
      </c>
      <c r="D23" s="10">
        <v>12</v>
      </c>
      <c r="E23" s="11">
        <v>0</v>
      </c>
      <c r="F23" s="11">
        <f t="shared" si="0"/>
        <v>0</v>
      </c>
      <c r="G23" s="10" t="s">
        <v>26</v>
      </c>
      <c r="H23" s="28" t="s">
        <v>115</v>
      </c>
      <c r="I23" s="13" t="s">
        <v>116</v>
      </c>
      <c r="J23" s="27"/>
      <c r="K23" s="27" t="s">
        <v>117</v>
      </c>
      <c r="L23" s="7">
        <v>46094</v>
      </c>
      <c r="M23" s="9" t="s">
        <v>118</v>
      </c>
      <c r="N23" s="16" t="s">
        <v>107</v>
      </c>
      <c r="O23" s="16" t="s">
        <v>119</v>
      </c>
      <c r="P23" s="16" t="s">
        <v>120</v>
      </c>
      <c r="Q23" s="16" t="s">
        <v>121</v>
      </c>
      <c r="R23" s="16" t="s">
        <v>122</v>
      </c>
      <c r="S23" s="16" t="s">
        <v>123</v>
      </c>
      <c r="T23" s="16" t="s">
        <v>124</v>
      </c>
      <c r="U23" s="17" t="s">
        <v>125</v>
      </c>
      <c r="V23" s="18" t="s">
        <v>126</v>
      </c>
      <c r="W23" s="19"/>
      <c r="X23" s="19" t="str">
        <f t="shared" ca="1" si="1"/>
        <v/>
      </c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</row>
    <row r="24" spans="1:39" ht="13.5" customHeight="1" x14ac:dyDescent="0.3">
      <c r="A24" s="7">
        <v>45916</v>
      </c>
      <c r="B24" s="27" t="s">
        <v>127</v>
      </c>
      <c r="C24" s="9" t="s">
        <v>128</v>
      </c>
      <c r="D24" s="9"/>
      <c r="E24" s="11">
        <v>200000000</v>
      </c>
      <c r="F24" s="11">
        <f t="shared" si="0"/>
        <v>0</v>
      </c>
      <c r="G24" s="9" t="s">
        <v>26</v>
      </c>
      <c r="H24" s="12" t="s">
        <v>40</v>
      </c>
      <c r="I24" s="21"/>
      <c r="J24" s="15"/>
      <c r="K24" s="15"/>
      <c r="L24" s="7">
        <v>46003</v>
      </c>
      <c r="M24" s="9" t="s">
        <v>129</v>
      </c>
      <c r="N24" s="16"/>
      <c r="O24" s="16"/>
      <c r="P24" s="16" t="s">
        <v>130</v>
      </c>
      <c r="Q24" s="16" t="s">
        <v>131</v>
      </c>
      <c r="R24" s="16" t="s">
        <v>132</v>
      </c>
      <c r="S24" s="16" t="s">
        <v>133</v>
      </c>
      <c r="T24" s="16" t="s">
        <v>134</v>
      </c>
      <c r="U24" s="17"/>
      <c r="V24" s="19"/>
      <c r="W24" s="19"/>
      <c r="X24" s="19" t="str">
        <f t="shared" ca="1" si="1"/>
        <v/>
      </c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 spans="1:39" ht="13.5" customHeight="1" x14ac:dyDescent="0.3">
      <c r="A25" s="7">
        <v>45883</v>
      </c>
      <c r="B25" s="9" t="s">
        <v>135</v>
      </c>
      <c r="C25" s="9" t="s">
        <v>136</v>
      </c>
      <c r="D25" s="9"/>
      <c r="E25" s="11">
        <v>50000000</v>
      </c>
      <c r="F25" s="11">
        <f t="shared" si="0"/>
        <v>0</v>
      </c>
      <c r="G25" s="9" t="s">
        <v>51</v>
      </c>
      <c r="H25" s="25" t="s">
        <v>101</v>
      </c>
      <c r="I25" s="21"/>
      <c r="J25" s="15"/>
      <c r="K25" s="15"/>
      <c r="L25" s="7">
        <v>45939</v>
      </c>
      <c r="M25" s="9" t="s">
        <v>137</v>
      </c>
      <c r="N25" s="16" t="s">
        <v>138</v>
      </c>
      <c r="O25" s="23" t="s">
        <v>138</v>
      </c>
      <c r="P25" s="16"/>
      <c r="Q25" s="16"/>
      <c r="R25" s="23" t="s">
        <v>139</v>
      </c>
      <c r="S25" s="16"/>
      <c r="T25" s="16"/>
      <c r="U25" s="17"/>
      <c r="V25" s="19"/>
      <c r="W25" s="19"/>
      <c r="X25" s="19" t="str">
        <f t="shared" ca="1" si="1"/>
        <v/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ht="13.5" customHeight="1" x14ac:dyDescent="0.3">
      <c r="A26" s="7">
        <v>45949</v>
      </c>
      <c r="B26" s="9" t="s">
        <v>140</v>
      </c>
      <c r="C26" s="9" t="s">
        <v>39</v>
      </c>
      <c r="D26" s="9"/>
      <c r="E26" s="11">
        <v>200000000</v>
      </c>
      <c r="F26" s="11">
        <f t="shared" si="0"/>
        <v>0</v>
      </c>
      <c r="G26" s="9" t="s">
        <v>51</v>
      </c>
      <c r="H26" s="24" t="s">
        <v>64</v>
      </c>
      <c r="I26" s="13" t="s">
        <v>65</v>
      </c>
      <c r="J26" s="15"/>
      <c r="K26" s="15"/>
      <c r="L26" s="7">
        <v>45913</v>
      </c>
      <c r="M26" s="9" t="s">
        <v>141</v>
      </c>
      <c r="N26" s="16"/>
      <c r="O26" s="16"/>
      <c r="P26" s="16"/>
      <c r="Q26" s="16"/>
      <c r="R26" s="16"/>
      <c r="S26" s="16" t="s">
        <v>74</v>
      </c>
      <c r="T26" s="16"/>
      <c r="U26" s="17"/>
      <c r="V26" s="19"/>
      <c r="W26" s="19"/>
      <c r="X26" s="19" t="str">
        <f t="shared" ca="1" si="1"/>
        <v/>
      </c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</row>
    <row r="27" spans="1:39" ht="13.5" customHeight="1" x14ac:dyDescent="0.3">
      <c r="A27" s="7">
        <v>45984</v>
      </c>
      <c r="B27" s="8" t="s">
        <v>142</v>
      </c>
      <c r="C27" s="9" t="s">
        <v>143</v>
      </c>
      <c r="D27" s="9">
        <v>24</v>
      </c>
      <c r="E27" s="11">
        <v>2000000000</v>
      </c>
      <c r="F27" s="11">
        <f t="shared" si="0"/>
        <v>48000000000</v>
      </c>
      <c r="G27" s="9" t="s">
        <v>51</v>
      </c>
      <c r="H27" s="12" t="s">
        <v>27</v>
      </c>
      <c r="I27" s="13" t="s">
        <v>28</v>
      </c>
      <c r="J27" s="14">
        <v>0.5</v>
      </c>
      <c r="K27" s="27" t="s">
        <v>144</v>
      </c>
      <c r="L27" s="10" t="s">
        <v>145</v>
      </c>
      <c r="M27" s="9" t="s">
        <v>146</v>
      </c>
      <c r="N27" s="16"/>
      <c r="O27" s="16"/>
      <c r="P27" s="16" t="s">
        <v>147</v>
      </c>
      <c r="Q27" s="16" t="s">
        <v>148</v>
      </c>
      <c r="R27" s="16" t="s">
        <v>149</v>
      </c>
      <c r="S27" s="16" t="s">
        <v>150</v>
      </c>
      <c r="T27" s="29" t="s">
        <v>151</v>
      </c>
      <c r="U27" s="17" t="s">
        <v>152</v>
      </c>
      <c r="V27" s="18" t="s">
        <v>153</v>
      </c>
      <c r="W27" s="18"/>
      <c r="X27" s="19" t="str">
        <f t="shared" ca="1" si="1"/>
        <v/>
      </c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</row>
    <row r="28" spans="1:39" ht="13.5" customHeight="1" x14ac:dyDescent="0.3">
      <c r="A28" s="7">
        <v>45981</v>
      </c>
      <c r="B28" s="9" t="s">
        <v>154</v>
      </c>
      <c r="C28" s="9" t="s">
        <v>39</v>
      </c>
      <c r="D28" s="9"/>
      <c r="E28" s="11">
        <v>200000000</v>
      </c>
      <c r="F28" s="11">
        <f t="shared" si="0"/>
        <v>0</v>
      </c>
      <c r="G28" s="9" t="s">
        <v>51</v>
      </c>
      <c r="H28" s="20" t="s">
        <v>40</v>
      </c>
      <c r="I28" s="21"/>
      <c r="J28" s="15"/>
      <c r="K28" s="15"/>
      <c r="L28" s="7">
        <v>45971</v>
      </c>
      <c r="M28" s="9" t="s">
        <v>155</v>
      </c>
      <c r="N28" s="16"/>
      <c r="O28" s="16"/>
      <c r="P28" s="16" t="s">
        <v>147</v>
      </c>
      <c r="Q28" s="16" t="s">
        <v>156</v>
      </c>
      <c r="R28" s="23" t="s">
        <v>157</v>
      </c>
      <c r="S28" s="16"/>
      <c r="T28" s="16"/>
      <c r="U28" s="17"/>
      <c r="V28" s="19"/>
      <c r="W28" s="19"/>
      <c r="X28" s="19" t="str">
        <f t="shared" ca="1" si="1"/>
        <v/>
      </c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</row>
    <row r="29" spans="1:39" ht="13.5" customHeight="1" x14ac:dyDescent="0.3">
      <c r="A29" s="7">
        <v>45919</v>
      </c>
      <c r="B29" s="8" t="s">
        <v>158</v>
      </c>
      <c r="C29" s="9" t="s">
        <v>43</v>
      </c>
      <c r="D29" s="9">
        <v>24</v>
      </c>
      <c r="E29" s="11">
        <v>300000000</v>
      </c>
      <c r="F29" s="11">
        <f t="shared" si="0"/>
        <v>7200000000</v>
      </c>
      <c r="G29" s="9" t="s">
        <v>51</v>
      </c>
      <c r="H29" s="12" t="s">
        <v>27</v>
      </c>
      <c r="I29" s="13" t="s">
        <v>28</v>
      </c>
      <c r="J29" s="14">
        <v>0.5</v>
      </c>
      <c r="K29" s="15"/>
      <c r="L29" s="7">
        <v>45981</v>
      </c>
      <c r="M29" s="9" t="s">
        <v>159</v>
      </c>
      <c r="N29" s="16" t="s">
        <v>160</v>
      </c>
      <c r="O29" s="16" t="s">
        <v>160</v>
      </c>
      <c r="P29" s="16" t="s">
        <v>161</v>
      </c>
      <c r="Q29" s="16" t="s">
        <v>162</v>
      </c>
      <c r="R29" s="16" t="s">
        <v>163</v>
      </c>
      <c r="S29" s="16" t="s">
        <v>164</v>
      </c>
      <c r="T29" s="16" t="s">
        <v>165</v>
      </c>
      <c r="U29" s="17" t="s">
        <v>166</v>
      </c>
      <c r="V29" s="18" t="s">
        <v>167</v>
      </c>
      <c r="W29" s="18"/>
      <c r="X29" s="19" t="str">
        <f t="shared" ca="1" si="1"/>
        <v/>
      </c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</row>
    <row r="30" spans="1:39" ht="13.5" customHeight="1" x14ac:dyDescent="0.3">
      <c r="A30" s="7">
        <v>45933</v>
      </c>
      <c r="B30" s="27" t="s">
        <v>168</v>
      </c>
      <c r="C30" s="9" t="s">
        <v>76</v>
      </c>
      <c r="D30" s="10"/>
      <c r="E30" s="11">
        <v>100000000</v>
      </c>
      <c r="F30" s="11">
        <f t="shared" si="0"/>
        <v>0</v>
      </c>
      <c r="G30" s="10" t="s">
        <v>93</v>
      </c>
      <c r="H30" s="20" t="s">
        <v>40</v>
      </c>
      <c r="I30" s="21"/>
      <c r="J30" s="15"/>
      <c r="K30" s="15"/>
      <c r="L30" s="7">
        <v>45981</v>
      </c>
      <c r="M30" s="9" t="s">
        <v>169</v>
      </c>
      <c r="N30" s="16" t="s">
        <v>170</v>
      </c>
      <c r="O30" s="16" t="s">
        <v>170</v>
      </c>
      <c r="P30" s="16" t="s">
        <v>171</v>
      </c>
      <c r="Q30" s="16" t="s">
        <v>171</v>
      </c>
      <c r="R30" s="16" t="s">
        <v>172</v>
      </c>
      <c r="S30" s="16" t="s">
        <v>173</v>
      </c>
      <c r="T30" s="16" t="s">
        <v>173</v>
      </c>
      <c r="U30" s="17" t="s">
        <v>174</v>
      </c>
      <c r="V30" s="19"/>
      <c r="W30" s="19"/>
      <c r="X30" s="19" t="str">
        <f t="shared" ca="1" si="1"/>
        <v/>
      </c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</row>
    <row r="31" spans="1:39" ht="13.5" customHeight="1" x14ac:dyDescent="0.3">
      <c r="A31" s="7">
        <v>46005</v>
      </c>
      <c r="B31" s="27" t="s">
        <v>175</v>
      </c>
      <c r="C31" s="9" t="s">
        <v>43</v>
      </c>
      <c r="D31" s="9"/>
      <c r="E31" s="11">
        <v>250000000</v>
      </c>
      <c r="F31" s="11">
        <f t="shared" si="0"/>
        <v>0</v>
      </c>
      <c r="G31" s="9" t="s">
        <v>51</v>
      </c>
      <c r="H31" s="24" t="s">
        <v>64</v>
      </c>
      <c r="I31" s="21"/>
      <c r="J31" s="15"/>
      <c r="K31" s="15"/>
      <c r="L31" s="7">
        <v>45968</v>
      </c>
      <c r="M31" s="9" t="s">
        <v>176</v>
      </c>
      <c r="N31" s="16"/>
      <c r="O31" s="16"/>
      <c r="P31" s="16" t="s">
        <v>177</v>
      </c>
      <c r="Q31" s="16"/>
      <c r="R31" s="16" t="s">
        <v>178</v>
      </c>
      <c r="S31" s="16" t="s">
        <v>179</v>
      </c>
      <c r="T31" s="16" t="s">
        <v>179</v>
      </c>
      <c r="U31" s="17" t="s">
        <v>180</v>
      </c>
      <c r="V31" s="19"/>
      <c r="W31" s="19"/>
      <c r="X31" s="19" t="str">
        <f t="shared" ca="1" si="1"/>
        <v/>
      </c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ht="13.5" customHeight="1" x14ac:dyDescent="0.3">
      <c r="A32" s="7">
        <v>45988</v>
      </c>
      <c r="B32" s="8" t="s">
        <v>181</v>
      </c>
      <c r="C32" s="9" t="s">
        <v>47</v>
      </c>
      <c r="D32" s="9">
        <v>24</v>
      </c>
      <c r="E32" s="11">
        <v>320000000</v>
      </c>
      <c r="F32" s="11">
        <f t="shared" si="0"/>
        <v>7680000000</v>
      </c>
      <c r="G32" s="9" t="s">
        <v>51</v>
      </c>
      <c r="H32" s="12" t="s">
        <v>27</v>
      </c>
      <c r="I32" s="13" t="s">
        <v>182</v>
      </c>
      <c r="J32" s="14">
        <v>0.25</v>
      </c>
      <c r="K32" s="15"/>
      <c r="L32" s="10" t="s">
        <v>145</v>
      </c>
      <c r="M32" s="9" t="s">
        <v>183</v>
      </c>
      <c r="N32" s="16"/>
      <c r="O32" s="16"/>
      <c r="P32" s="16" t="s">
        <v>184</v>
      </c>
      <c r="Q32" s="16" t="s">
        <v>185</v>
      </c>
      <c r="R32" s="16" t="s">
        <v>186</v>
      </c>
      <c r="S32" s="16" t="s">
        <v>187</v>
      </c>
      <c r="T32" s="23" t="s">
        <v>188</v>
      </c>
      <c r="U32" s="17" t="s">
        <v>189</v>
      </c>
      <c r="V32" s="18" t="s">
        <v>190</v>
      </c>
      <c r="W32" s="18"/>
      <c r="X32" s="19" t="str">
        <f t="shared" ca="1" si="1"/>
        <v/>
      </c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</row>
    <row r="33" spans="1:39" ht="13.5" customHeight="1" x14ac:dyDescent="0.3">
      <c r="A33" s="7">
        <v>45981</v>
      </c>
      <c r="B33" s="9" t="s">
        <v>191</v>
      </c>
      <c r="C33" s="9" t="s">
        <v>39</v>
      </c>
      <c r="D33" s="9"/>
      <c r="E33" s="11">
        <v>200000000</v>
      </c>
      <c r="F33" s="11">
        <f t="shared" si="0"/>
        <v>0</v>
      </c>
      <c r="G33" s="9" t="s">
        <v>51</v>
      </c>
      <c r="H33" s="20" t="s">
        <v>40</v>
      </c>
      <c r="I33" s="21"/>
      <c r="J33" s="15"/>
      <c r="K33" s="15"/>
      <c r="L33" s="7">
        <v>46001</v>
      </c>
      <c r="M33" s="9" t="s">
        <v>192</v>
      </c>
      <c r="N33" s="9" t="s">
        <v>193</v>
      </c>
      <c r="O33" s="9" t="s">
        <v>193</v>
      </c>
      <c r="P33" s="16" t="s">
        <v>194</v>
      </c>
      <c r="Q33" s="16"/>
      <c r="R33" s="16"/>
      <c r="S33" s="16"/>
      <c r="T33" s="16"/>
      <c r="U33" s="17"/>
      <c r="V33" s="19"/>
      <c r="W33" s="19"/>
      <c r="X33" s="19" t="str">
        <f t="shared" ca="1" si="1"/>
        <v/>
      </c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</row>
    <row r="34" spans="1:39" ht="13.5" customHeight="1" x14ac:dyDescent="0.3">
      <c r="A34" s="7">
        <v>46010</v>
      </c>
      <c r="B34" s="30" t="s">
        <v>195</v>
      </c>
      <c r="C34" s="9" t="s">
        <v>43</v>
      </c>
      <c r="D34" s="10">
        <v>12</v>
      </c>
      <c r="E34" s="11">
        <v>50000000</v>
      </c>
      <c r="F34" s="11">
        <f t="shared" si="0"/>
        <v>600000000</v>
      </c>
      <c r="G34" s="10" t="s">
        <v>93</v>
      </c>
      <c r="H34" s="12" t="s">
        <v>27</v>
      </c>
      <c r="I34" s="13" t="s">
        <v>28</v>
      </c>
      <c r="J34" s="14">
        <v>0.25</v>
      </c>
      <c r="K34" s="15"/>
      <c r="L34" s="7">
        <v>45972</v>
      </c>
      <c r="M34" s="9" t="s">
        <v>196</v>
      </c>
      <c r="N34" s="9" t="s">
        <v>197</v>
      </c>
      <c r="O34" s="9" t="s">
        <v>197</v>
      </c>
      <c r="P34" s="16" t="s">
        <v>177</v>
      </c>
      <c r="Q34" s="16" t="s">
        <v>198</v>
      </c>
      <c r="R34" s="16" t="s">
        <v>199</v>
      </c>
      <c r="S34" s="16" t="s">
        <v>200</v>
      </c>
      <c r="T34" s="16" t="s">
        <v>201</v>
      </c>
      <c r="U34" s="17" t="s">
        <v>202</v>
      </c>
      <c r="V34" s="18"/>
      <c r="W34" s="18"/>
      <c r="X34" s="19" t="str">
        <f t="shared" ca="1" si="1"/>
        <v/>
      </c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</row>
    <row r="35" spans="1:39" ht="13.5" customHeight="1" x14ac:dyDescent="0.3">
      <c r="A35" s="7">
        <v>45983</v>
      </c>
      <c r="B35" s="9" t="s">
        <v>203</v>
      </c>
      <c r="C35" s="9" t="s">
        <v>204</v>
      </c>
      <c r="D35" s="9"/>
      <c r="E35" s="11">
        <v>0</v>
      </c>
      <c r="F35" s="11">
        <f t="shared" si="0"/>
        <v>0</v>
      </c>
      <c r="G35" s="9" t="s">
        <v>205</v>
      </c>
      <c r="H35" s="31" t="s">
        <v>86</v>
      </c>
      <c r="I35" s="32"/>
      <c r="J35" s="33"/>
      <c r="K35" s="33"/>
      <c r="L35" s="7"/>
      <c r="M35" s="9" t="s">
        <v>206</v>
      </c>
      <c r="N35" s="16"/>
      <c r="O35" s="16"/>
      <c r="P35" s="16"/>
      <c r="Q35" s="16"/>
      <c r="R35" s="16"/>
      <c r="S35" s="16"/>
      <c r="T35" s="16"/>
      <c r="U35" s="17"/>
      <c r="V35" s="19"/>
      <c r="W35" s="19"/>
      <c r="X35" s="19" t="str">
        <f t="shared" ca="1" si="1"/>
        <v/>
      </c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</row>
    <row r="36" spans="1:39" ht="13.5" customHeight="1" x14ac:dyDescent="0.3">
      <c r="A36" s="7">
        <v>45989</v>
      </c>
      <c r="B36" s="27" t="s">
        <v>207</v>
      </c>
      <c r="C36" s="9" t="s">
        <v>204</v>
      </c>
      <c r="D36" s="9">
        <v>12</v>
      </c>
      <c r="E36" s="11">
        <v>20000000</v>
      </c>
      <c r="F36" s="11">
        <f t="shared" si="0"/>
        <v>240000000</v>
      </c>
      <c r="G36" s="9" t="s">
        <v>51</v>
      </c>
      <c r="H36" s="12" t="s">
        <v>40</v>
      </c>
      <c r="I36" s="13" t="s">
        <v>182</v>
      </c>
      <c r="J36" s="14">
        <v>0</v>
      </c>
      <c r="K36" s="15"/>
      <c r="L36" s="7">
        <v>45990</v>
      </c>
      <c r="M36" s="9" t="s">
        <v>206</v>
      </c>
      <c r="N36" s="16"/>
      <c r="O36" s="16"/>
      <c r="P36" s="16" t="s">
        <v>177</v>
      </c>
      <c r="Q36" s="16"/>
      <c r="R36" s="16" t="s">
        <v>178</v>
      </c>
      <c r="S36" s="16" t="s">
        <v>208</v>
      </c>
      <c r="T36" s="16" t="s">
        <v>209</v>
      </c>
      <c r="U36" s="17" t="s">
        <v>210</v>
      </c>
      <c r="V36" s="19"/>
      <c r="W36" s="19"/>
      <c r="X36" s="19" t="str">
        <f t="shared" ca="1" si="1"/>
        <v/>
      </c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</row>
    <row r="37" spans="1:39" ht="13.5" customHeight="1" x14ac:dyDescent="0.3">
      <c r="A37" s="7">
        <v>45946</v>
      </c>
      <c r="B37" s="9" t="s">
        <v>211</v>
      </c>
      <c r="C37" s="9" t="s">
        <v>204</v>
      </c>
      <c r="D37" s="9"/>
      <c r="E37" s="11">
        <v>0</v>
      </c>
      <c r="F37" s="11">
        <f t="shared" si="0"/>
        <v>0</v>
      </c>
      <c r="G37" s="9" t="s">
        <v>51</v>
      </c>
      <c r="H37" s="25" t="s">
        <v>101</v>
      </c>
      <c r="I37" s="34"/>
      <c r="J37" s="35"/>
      <c r="K37" s="35"/>
      <c r="L37" s="7"/>
      <c r="M37" s="22" t="s">
        <v>212</v>
      </c>
      <c r="N37" s="16"/>
      <c r="O37" s="16"/>
      <c r="P37" s="16"/>
      <c r="Q37" s="16"/>
      <c r="R37" s="23" t="s">
        <v>213</v>
      </c>
      <c r="S37" s="16"/>
      <c r="T37" s="16"/>
      <c r="U37" s="17"/>
      <c r="V37" s="19"/>
      <c r="W37" s="19"/>
      <c r="X37" s="19" t="str">
        <f t="shared" ca="1" si="1"/>
        <v/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ht="13.5" customHeight="1" x14ac:dyDescent="0.3">
      <c r="A38" s="7">
        <v>46030</v>
      </c>
      <c r="B38" s="8" t="s">
        <v>214</v>
      </c>
      <c r="C38" s="9" t="s">
        <v>43</v>
      </c>
      <c r="D38" s="10">
        <v>12</v>
      </c>
      <c r="E38" s="11">
        <v>200000000</v>
      </c>
      <c r="F38" s="11">
        <f t="shared" si="0"/>
        <v>2400000000</v>
      </c>
      <c r="G38" s="10" t="s">
        <v>51</v>
      </c>
      <c r="H38" s="12" t="s">
        <v>27</v>
      </c>
      <c r="I38" s="36" t="s">
        <v>28</v>
      </c>
      <c r="J38" s="37">
        <v>0.25</v>
      </c>
      <c r="K38" s="33"/>
      <c r="L38" s="7">
        <v>45686</v>
      </c>
      <c r="M38" s="22" t="s">
        <v>215</v>
      </c>
      <c r="N38" s="16"/>
      <c r="O38" s="16"/>
      <c r="P38" s="23" t="s">
        <v>216</v>
      </c>
      <c r="Q38" s="16"/>
      <c r="R38" s="16" t="s">
        <v>217</v>
      </c>
      <c r="S38" s="16" t="s">
        <v>218</v>
      </c>
      <c r="T38" s="16" t="s">
        <v>219</v>
      </c>
      <c r="U38" s="17" t="s">
        <v>220</v>
      </c>
      <c r="V38" s="18" t="s">
        <v>221</v>
      </c>
      <c r="W38" s="18"/>
      <c r="X38" s="19" t="str">
        <f t="shared" ca="1" si="1"/>
        <v/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</row>
    <row r="39" spans="1:39" ht="13.5" customHeight="1" x14ac:dyDescent="0.3">
      <c r="A39" s="7">
        <v>46040</v>
      </c>
      <c r="B39" s="9" t="s">
        <v>222</v>
      </c>
      <c r="C39" s="9" t="s">
        <v>76</v>
      </c>
      <c r="D39" s="9"/>
      <c r="E39" s="11">
        <v>30000000</v>
      </c>
      <c r="F39" s="11">
        <f t="shared" si="0"/>
        <v>0</v>
      </c>
      <c r="G39" s="9" t="s">
        <v>26</v>
      </c>
      <c r="H39" s="24" t="s">
        <v>64</v>
      </c>
      <c r="I39" s="32"/>
      <c r="J39" s="33"/>
      <c r="K39" s="33"/>
      <c r="L39" s="7">
        <v>46001</v>
      </c>
      <c r="M39" s="9" t="s">
        <v>223</v>
      </c>
      <c r="N39" s="16"/>
      <c r="O39" s="16"/>
      <c r="P39" s="23" t="s">
        <v>224</v>
      </c>
      <c r="Q39" s="16"/>
      <c r="R39" s="16"/>
      <c r="S39" s="16" t="s">
        <v>225</v>
      </c>
      <c r="T39" s="16"/>
      <c r="U39" s="17"/>
      <c r="V39" s="19"/>
      <c r="W39" s="19"/>
      <c r="X39" s="19" t="str">
        <f t="shared" ca="1" si="1"/>
        <v/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</row>
    <row r="40" spans="1:39" ht="13.5" customHeight="1" x14ac:dyDescent="0.3">
      <c r="A40" s="7">
        <v>45986</v>
      </c>
      <c r="B40" s="17" t="s">
        <v>226</v>
      </c>
      <c r="C40" s="9" t="s">
        <v>47</v>
      </c>
      <c r="D40" s="9">
        <v>24</v>
      </c>
      <c r="E40" s="11">
        <v>45000000</v>
      </c>
      <c r="F40" s="11">
        <f t="shared" si="0"/>
        <v>1080000000</v>
      </c>
      <c r="G40" s="9" t="s">
        <v>51</v>
      </c>
      <c r="H40" s="12" t="s">
        <v>27</v>
      </c>
      <c r="I40" s="36" t="s">
        <v>28</v>
      </c>
      <c r="J40" s="37">
        <v>0.25</v>
      </c>
      <c r="K40" s="33"/>
      <c r="L40" s="7">
        <v>46066</v>
      </c>
      <c r="M40" s="16"/>
      <c r="N40" s="16"/>
      <c r="O40" s="16"/>
      <c r="P40" s="16" t="s">
        <v>227</v>
      </c>
      <c r="Q40" s="16" t="s">
        <v>228</v>
      </c>
      <c r="R40" s="16" t="s">
        <v>229</v>
      </c>
      <c r="S40" s="16" t="s">
        <v>230</v>
      </c>
      <c r="T40" s="16" t="s">
        <v>231</v>
      </c>
      <c r="U40" s="17" t="s">
        <v>232</v>
      </c>
      <c r="V40" s="18" t="s">
        <v>233</v>
      </c>
      <c r="W40" s="18"/>
      <c r="X40" s="19" t="str">
        <f t="shared" ca="1" si="1"/>
        <v/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spans="1:39" ht="13.5" customHeight="1" x14ac:dyDescent="0.3">
      <c r="A41" s="7">
        <v>46010</v>
      </c>
      <c r="B41" s="8" t="s">
        <v>234</v>
      </c>
      <c r="C41" s="9" t="s">
        <v>47</v>
      </c>
      <c r="D41" s="9">
        <v>12</v>
      </c>
      <c r="E41" s="11">
        <v>240000000</v>
      </c>
      <c r="F41" s="11">
        <f t="shared" si="0"/>
        <v>2880000000</v>
      </c>
      <c r="G41" s="9" t="s">
        <v>51</v>
      </c>
      <c r="H41" s="12" t="s">
        <v>27</v>
      </c>
      <c r="I41" s="36" t="s">
        <v>182</v>
      </c>
      <c r="J41" s="37">
        <v>0.25</v>
      </c>
      <c r="K41" s="33"/>
      <c r="L41" s="7">
        <v>46092</v>
      </c>
      <c r="M41" s="16"/>
      <c r="N41" s="16"/>
      <c r="O41" s="16"/>
      <c r="P41" s="23" t="s">
        <v>235</v>
      </c>
      <c r="Q41" s="16"/>
      <c r="R41" s="16" t="s">
        <v>178</v>
      </c>
      <c r="S41" s="16" t="s">
        <v>236</v>
      </c>
      <c r="T41" s="29" t="s">
        <v>237</v>
      </c>
      <c r="U41" s="17" t="s">
        <v>238</v>
      </c>
      <c r="V41" s="18" t="s">
        <v>239</v>
      </c>
      <c r="W41" s="18"/>
      <c r="X41" s="19" t="str">
        <f t="shared" ca="1" si="1"/>
        <v/>
      </c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</row>
    <row r="42" spans="1:39" ht="13.5" customHeight="1" x14ac:dyDescent="0.3">
      <c r="A42" s="7">
        <v>46036</v>
      </c>
      <c r="B42" s="9" t="s">
        <v>240</v>
      </c>
      <c r="C42" s="9" t="s">
        <v>76</v>
      </c>
      <c r="D42" s="9"/>
      <c r="E42" s="38">
        <v>0</v>
      </c>
      <c r="F42" s="11">
        <f t="shared" si="0"/>
        <v>0</v>
      </c>
      <c r="G42" s="9" t="s">
        <v>205</v>
      </c>
      <c r="H42" s="31" t="s">
        <v>86</v>
      </c>
      <c r="I42" s="32"/>
      <c r="J42" s="33"/>
      <c r="K42" s="33"/>
      <c r="L42" s="7"/>
      <c r="M42" s="22" t="s">
        <v>241</v>
      </c>
      <c r="N42" s="16"/>
      <c r="O42" s="16"/>
      <c r="P42" s="23" t="s">
        <v>242</v>
      </c>
      <c r="Q42" s="16"/>
      <c r="R42" s="16"/>
      <c r="S42" s="16"/>
      <c r="T42" s="16"/>
      <c r="U42" s="17"/>
      <c r="V42" s="19"/>
      <c r="W42" s="19"/>
      <c r="X42" s="19" t="str">
        <f t="shared" ca="1" si="1"/>
        <v/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</row>
    <row r="43" spans="1:39" ht="13.5" customHeight="1" x14ac:dyDescent="0.3">
      <c r="A43" s="7">
        <v>46040</v>
      </c>
      <c r="B43" s="27" t="s">
        <v>243</v>
      </c>
      <c r="C43" s="9" t="s">
        <v>39</v>
      </c>
      <c r="D43" s="9">
        <v>12</v>
      </c>
      <c r="E43" s="11">
        <v>300000000</v>
      </c>
      <c r="F43" s="11">
        <f t="shared" si="0"/>
        <v>3600000000</v>
      </c>
      <c r="G43" s="9" t="s">
        <v>26</v>
      </c>
      <c r="H43" s="12" t="s">
        <v>40</v>
      </c>
      <c r="I43" s="36" t="s">
        <v>182</v>
      </c>
      <c r="J43" s="37">
        <v>0</v>
      </c>
      <c r="K43" s="33"/>
      <c r="L43" s="7">
        <v>46020</v>
      </c>
      <c r="M43" s="22" t="s">
        <v>244</v>
      </c>
      <c r="N43" s="16"/>
      <c r="O43" s="16"/>
      <c r="P43" s="23" t="s">
        <v>245</v>
      </c>
      <c r="Q43" s="16"/>
      <c r="R43" s="16" t="s">
        <v>246</v>
      </c>
      <c r="S43" s="16" t="s">
        <v>247</v>
      </c>
      <c r="T43" s="16" t="s">
        <v>248</v>
      </c>
      <c r="U43" s="17" t="s">
        <v>249</v>
      </c>
      <c r="V43" s="19"/>
      <c r="W43" s="19"/>
      <c r="X43" s="19" t="str">
        <f t="shared" ca="1" si="1"/>
        <v/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ht="13.5" customHeight="1" x14ac:dyDescent="0.3">
      <c r="A44" s="7">
        <v>46041</v>
      </c>
      <c r="B44" s="9" t="s">
        <v>250</v>
      </c>
      <c r="C44" s="9" t="s">
        <v>76</v>
      </c>
      <c r="D44" s="9"/>
      <c r="E44" s="38">
        <v>0</v>
      </c>
      <c r="F44" s="11">
        <f t="shared" si="0"/>
        <v>0</v>
      </c>
      <c r="G44" s="9" t="s">
        <v>205</v>
      </c>
      <c r="H44" s="31" t="s">
        <v>86</v>
      </c>
      <c r="I44" s="32"/>
      <c r="J44" s="33"/>
      <c r="K44" s="33"/>
      <c r="L44" s="7"/>
      <c r="M44" s="22" t="s">
        <v>241</v>
      </c>
      <c r="N44" s="16"/>
      <c r="O44" s="16"/>
      <c r="P44" s="16" t="s">
        <v>251</v>
      </c>
      <c r="Q44" s="16"/>
      <c r="R44" s="16"/>
      <c r="S44" s="16"/>
      <c r="T44" s="16"/>
      <c r="U44" s="17"/>
      <c r="V44" s="19"/>
      <c r="W44" s="19"/>
      <c r="X44" s="19" t="str">
        <f t="shared" ca="1" si="1"/>
        <v/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</row>
    <row r="45" spans="1:39" ht="13.5" customHeight="1" x14ac:dyDescent="0.3">
      <c r="A45" s="7">
        <v>46047</v>
      </c>
      <c r="B45" s="8" t="s">
        <v>252</v>
      </c>
      <c r="C45" s="9" t="s">
        <v>39</v>
      </c>
      <c r="D45" s="9">
        <v>12</v>
      </c>
      <c r="E45" s="11">
        <v>90000000</v>
      </c>
      <c r="F45" s="11">
        <f t="shared" si="0"/>
        <v>1080000000</v>
      </c>
      <c r="G45" s="9" t="s">
        <v>51</v>
      </c>
      <c r="H45" s="12" t="s">
        <v>27</v>
      </c>
      <c r="I45" s="36" t="s">
        <v>28</v>
      </c>
      <c r="J45" s="37">
        <v>0.5</v>
      </c>
      <c r="K45" s="33"/>
      <c r="L45" s="7">
        <v>46052</v>
      </c>
      <c r="M45" s="16"/>
      <c r="N45" s="16"/>
      <c r="O45" s="16"/>
      <c r="P45" s="16" t="s">
        <v>253</v>
      </c>
      <c r="Q45" s="16" t="s">
        <v>254</v>
      </c>
      <c r="R45" s="16" t="s">
        <v>255</v>
      </c>
      <c r="S45" s="16" t="s">
        <v>256</v>
      </c>
      <c r="T45" s="16" t="s">
        <v>257</v>
      </c>
      <c r="U45" s="39" t="s">
        <v>166</v>
      </c>
      <c r="V45" s="18" t="s">
        <v>258</v>
      </c>
      <c r="W45" s="18"/>
      <c r="X45" s="19" t="str">
        <f t="shared" ca="1" si="1"/>
        <v/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</row>
    <row r="46" spans="1:39" ht="13.5" customHeight="1" x14ac:dyDescent="0.3">
      <c r="A46" s="7">
        <v>46067</v>
      </c>
      <c r="B46" s="40" t="s">
        <v>259</v>
      </c>
      <c r="C46" s="9" t="s">
        <v>143</v>
      </c>
      <c r="D46" s="9">
        <v>3</v>
      </c>
      <c r="E46" s="11">
        <v>300000000</v>
      </c>
      <c r="F46" s="11">
        <f t="shared" si="0"/>
        <v>900000000</v>
      </c>
      <c r="G46" s="9" t="s">
        <v>51</v>
      </c>
      <c r="H46" s="12" t="s">
        <v>40</v>
      </c>
      <c r="I46" s="36" t="s">
        <v>28</v>
      </c>
      <c r="J46" s="37">
        <v>0.25</v>
      </c>
      <c r="K46" s="33"/>
      <c r="L46" s="7">
        <v>46070</v>
      </c>
      <c r="M46" s="16"/>
      <c r="N46" s="16"/>
      <c r="O46" s="16"/>
      <c r="P46" s="16" t="s">
        <v>260</v>
      </c>
      <c r="Q46" s="16"/>
      <c r="R46" s="16" t="s">
        <v>261</v>
      </c>
      <c r="S46" s="16" t="s">
        <v>262</v>
      </c>
      <c r="T46" s="23" t="s">
        <v>263</v>
      </c>
      <c r="U46" s="39" t="s">
        <v>264</v>
      </c>
      <c r="V46" s="18" t="s">
        <v>265</v>
      </c>
      <c r="W46" s="18" t="s">
        <v>266</v>
      </c>
      <c r="X46" s="19" t="str">
        <f t="shared" ca="1" si="1"/>
        <v/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</row>
    <row r="47" spans="1:39" ht="13.5" customHeight="1" x14ac:dyDescent="0.3">
      <c r="A47" s="7">
        <v>46065</v>
      </c>
      <c r="B47" s="8" t="s">
        <v>267</v>
      </c>
      <c r="C47" s="9" t="s">
        <v>47</v>
      </c>
      <c r="D47" s="9">
        <v>12</v>
      </c>
      <c r="E47" s="11">
        <v>720000000</v>
      </c>
      <c r="F47" s="11">
        <f t="shared" si="0"/>
        <v>8640000000</v>
      </c>
      <c r="G47" s="9" t="s">
        <v>26</v>
      </c>
      <c r="H47" s="12" t="s">
        <v>27</v>
      </c>
      <c r="I47" s="36" t="s">
        <v>28</v>
      </c>
      <c r="J47" s="37">
        <v>0.5</v>
      </c>
      <c r="K47" s="33"/>
      <c r="L47" s="7">
        <v>45679</v>
      </c>
      <c r="M47" s="16"/>
      <c r="N47" s="16"/>
      <c r="O47" s="16"/>
      <c r="P47" s="23" t="s">
        <v>268</v>
      </c>
      <c r="Q47" s="16"/>
      <c r="R47" s="16" t="s">
        <v>269</v>
      </c>
      <c r="S47" s="16" t="s">
        <v>270</v>
      </c>
      <c r="T47" s="41" t="s">
        <v>271</v>
      </c>
      <c r="U47" s="39" t="s">
        <v>272</v>
      </c>
      <c r="V47" s="18" t="s">
        <v>273</v>
      </c>
      <c r="W47" s="18"/>
      <c r="X47" s="19" t="str">
        <f t="shared" ca="1" si="1"/>
        <v/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</row>
    <row r="48" spans="1:39" ht="13.5" customHeight="1" x14ac:dyDescent="0.3">
      <c r="A48" s="7">
        <v>46026</v>
      </c>
      <c r="B48" s="8" t="s">
        <v>274</v>
      </c>
      <c r="C48" s="9" t="s">
        <v>43</v>
      </c>
      <c r="D48" s="9">
        <v>12</v>
      </c>
      <c r="E48" s="11">
        <v>120000000</v>
      </c>
      <c r="F48" s="11">
        <f t="shared" si="0"/>
        <v>1440000000</v>
      </c>
      <c r="G48" s="9" t="s">
        <v>51</v>
      </c>
      <c r="H48" s="12" t="s">
        <v>27</v>
      </c>
      <c r="I48" s="36" t="s">
        <v>182</v>
      </c>
      <c r="J48" s="37">
        <v>0.25</v>
      </c>
      <c r="K48" s="33"/>
      <c r="L48" s="7">
        <v>46038</v>
      </c>
      <c r="M48" s="16"/>
      <c r="N48" s="16"/>
      <c r="O48" s="16"/>
      <c r="P48" s="16" t="s">
        <v>275</v>
      </c>
      <c r="Q48" s="16"/>
      <c r="R48" s="16" t="s">
        <v>276</v>
      </c>
      <c r="S48" s="16" t="s">
        <v>277</v>
      </c>
      <c r="T48" s="29" t="s">
        <v>278</v>
      </c>
      <c r="U48" s="17" t="s">
        <v>279</v>
      </c>
      <c r="V48" s="18" t="s">
        <v>280</v>
      </c>
      <c r="W48" s="18"/>
      <c r="X48" s="19" t="str">
        <f t="shared" ca="1" si="1"/>
        <v/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</row>
    <row r="49" spans="1:39" ht="13.5" customHeight="1" x14ac:dyDescent="0.3">
      <c r="A49" s="7">
        <v>46037</v>
      </c>
      <c r="B49" s="17" t="s">
        <v>281</v>
      </c>
      <c r="C49" s="9" t="s">
        <v>143</v>
      </c>
      <c r="D49" s="9">
        <v>24</v>
      </c>
      <c r="E49" s="11">
        <v>0</v>
      </c>
      <c r="F49" s="11">
        <f t="shared" si="0"/>
        <v>0</v>
      </c>
      <c r="G49" s="9" t="s">
        <v>51</v>
      </c>
      <c r="H49" s="28" t="s">
        <v>115</v>
      </c>
      <c r="I49" s="36" t="s">
        <v>116</v>
      </c>
      <c r="J49" s="33"/>
      <c r="K49" s="9" t="s">
        <v>117</v>
      </c>
      <c r="L49" s="7">
        <v>46069</v>
      </c>
      <c r="M49" s="16"/>
      <c r="N49" s="16"/>
      <c r="O49" s="16"/>
      <c r="P49" s="16" t="s">
        <v>275</v>
      </c>
      <c r="Q49" s="16"/>
      <c r="R49" s="16" t="s">
        <v>282</v>
      </c>
      <c r="S49" s="16" t="s">
        <v>283</v>
      </c>
      <c r="T49" s="16" t="s">
        <v>284</v>
      </c>
      <c r="U49" s="17" t="s">
        <v>285</v>
      </c>
      <c r="V49" s="18" t="s">
        <v>280</v>
      </c>
      <c r="W49" s="19"/>
      <c r="X49" s="19" t="str">
        <f t="shared" ca="1" si="1"/>
        <v/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ht="13.5" customHeight="1" x14ac:dyDescent="0.3">
      <c r="A50" s="7">
        <v>46040</v>
      </c>
      <c r="B50" s="17" t="s">
        <v>286</v>
      </c>
      <c r="C50" s="9" t="s">
        <v>76</v>
      </c>
      <c r="D50" s="9"/>
      <c r="E50" s="38">
        <v>0</v>
      </c>
      <c r="F50" s="11">
        <f t="shared" si="0"/>
        <v>0</v>
      </c>
      <c r="G50" s="9" t="s">
        <v>205</v>
      </c>
      <c r="H50" s="31" t="s">
        <v>86</v>
      </c>
      <c r="I50" s="32"/>
      <c r="J50" s="33"/>
      <c r="K50" s="33"/>
      <c r="L50" s="7">
        <v>45676</v>
      </c>
      <c r="M50" s="16"/>
      <c r="N50" s="16"/>
      <c r="O50" s="16"/>
      <c r="P50" s="16" t="s">
        <v>287</v>
      </c>
      <c r="Q50" s="16"/>
      <c r="R50" s="16"/>
      <c r="S50" s="16"/>
      <c r="T50" s="16"/>
      <c r="U50" s="17"/>
      <c r="V50" s="19"/>
      <c r="W50" s="19"/>
      <c r="X50" s="19" t="str">
        <f t="shared" ca="1" si="1"/>
        <v/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ht="13.5" customHeight="1" x14ac:dyDescent="0.3">
      <c r="A51" s="7">
        <v>46073</v>
      </c>
      <c r="B51" s="8" t="s">
        <v>288</v>
      </c>
      <c r="C51" s="9" t="s">
        <v>47</v>
      </c>
      <c r="D51" s="9">
        <v>24</v>
      </c>
      <c r="E51" s="11">
        <v>60000000</v>
      </c>
      <c r="F51" s="11">
        <f t="shared" si="0"/>
        <v>1440000000</v>
      </c>
      <c r="G51" s="9" t="s">
        <v>26</v>
      </c>
      <c r="H51" s="12" t="s">
        <v>27</v>
      </c>
      <c r="I51" s="36" t="s">
        <v>28</v>
      </c>
      <c r="J51" s="37">
        <v>0.25</v>
      </c>
      <c r="K51" s="33"/>
      <c r="L51" s="7">
        <v>45676</v>
      </c>
      <c r="M51" s="16"/>
      <c r="N51" s="16"/>
      <c r="O51" s="16"/>
      <c r="P51" s="16" t="s">
        <v>289</v>
      </c>
      <c r="Q51" s="16"/>
      <c r="R51" s="16" t="s">
        <v>290</v>
      </c>
      <c r="S51" s="16" t="s">
        <v>291</v>
      </c>
      <c r="T51" s="41" t="s">
        <v>292</v>
      </c>
      <c r="U51" s="39" t="s">
        <v>166</v>
      </c>
      <c r="V51" s="18" t="s">
        <v>293</v>
      </c>
      <c r="W51" s="18"/>
      <c r="X51" s="19" t="str">
        <f t="shared" ca="1" si="1"/>
        <v/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1:39" ht="13.5" customHeight="1" x14ac:dyDescent="0.3">
      <c r="A52" s="7">
        <v>46054</v>
      </c>
      <c r="B52" s="17" t="s">
        <v>294</v>
      </c>
      <c r="C52" s="9" t="s">
        <v>47</v>
      </c>
      <c r="D52" s="9">
        <v>36</v>
      </c>
      <c r="E52" s="42">
        <v>174000000</v>
      </c>
      <c r="F52" s="11">
        <f t="shared" si="0"/>
        <v>6264000000</v>
      </c>
      <c r="G52" s="9" t="s">
        <v>26</v>
      </c>
      <c r="H52" s="28" t="s">
        <v>27</v>
      </c>
      <c r="I52" s="36" t="s">
        <v>182</v>
      </c>
      <c r="J52" s="37">
        <v>0.5</v>
      </c>
      <c r="K52" s="9" t="s">
        <v>144</v>
      </c>
      <c r="L52" s="7">
        <v>46071</v>
      </c>
      <c r="M52" s="16"/>
      <c r="N52" s="16"/>
      <c r="O52" s="16"/>
      <c r="P52" s="16"/>
      <c r="Q52" s="16"/>
      <c r="R52" s="23" t="s">
        <v>295</v>
      </c>
      <c r="S52" s="16"/>
      <c r="T52" s="16" t="s">
        <v>296</v>
      </c>
      <c r="U52" s="17" t="s">
        <v>297</v>
      </c>
      <c r="V52" s="18" t="s">
        <v>298</v>
      </c>
      <c r="W52" s="18"/>
      <c r="X52" s="19" t="str">
        <f t="shared" ca="1" si="1"/>
        <v/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</row>
    <row r="53" spans="1:39" ht="13.5" customHeight="1" x14ac:dyDescent="0.3">
      <c r="A53" s="7">
        <v>46068</v>
      </c>
      <c r="B53" s="17" t="s">
        <v>299</v>
      </c>
      <c r="C53" s="9" t="s">
        <v>47</v>
      </c>
      <c r="D53" s="9">
        <v>12</v>
      </c>
      <c r="E53" s="11">
        <v>51000000</v>
      </c>
      <c r="F53" s="11">
        <f t="shared" si="0"/>
        <v>612000000</v>
      </c>
      <c r="G53" s="9" t="s">
        <v>51</v>
      </c>
      <c r="H53" s="28" t="s">
        <v>27</v>
      </c>
      <c r="I53" s="36" t="s">
        <v>182</v>
      </c>
      <c r="J53" s="37">
        <v>0.5</v>
      </c>
      <c r="K53" s="9" t="s">
        <v>144</v>
      </c>
      <c r="L53" s="7">
        <v>46080</v>
      </c>
      <c r="M53" s="16"/>
      <c r="N53" s="16"/>
      <c r="O53" s="16"/>
      <c r="P53" s="16"/>
      <c r="Q53" s="16"/>
      <c r="R53" s="16" t="s">
        <v>300</v>
      </c>
      <c r="S53" s="16" t="s">
        <v>301</v>
      </c>
      <c r="T53" s="16" t="s">
        <v>302</v>
      </c>
      <c r="U53" s="17" t="s">
        <v>303</v>
      </c>
      <c r="V53" s="18" t="s">
        <v>304</v>
      </c>
      <c r="W53" s="18"/>
      <c r="X53" s="19" t="str">
        <f t="shared" ca="1" si="1"/>
        <v/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</row>
    <row r="54" spans="1:39" ht="13.5" customHeight="1" x14ac:dyDescent="0.3">
      <c r="A54" s="7">
        <v>46068</v>
      </c>
      <c r="B54" s="17" t="s">
        <v>305</v>
      </c>
      <c r="C54" s="9" t="s">
        <v>47</v>
      </c>
      <c r="D54" s="9">
        <v>12</v>
      </c>
      <c r="E54" s="11">
        <v>83000000</v>
      </c>
      <c r="F54" s="11">
        <f t="shared" si="0"/>
        <v>996000000</v>
      </c>
      <c r="G54" s="9" t="s">
        <v>51</v>
      </c>
      <c r="H54" s="12" t="s">
        <v>64</v>
      </c>
      <c r="I54" s="36" t="s">
        <v>65</v>
      </c>
      <c r="J54" s="37">
        <v>1</v>
      </c>
      <c r="K54" s="9" t="s">
        <v>144</v>
      </c>
      <c r="L54" s="7">
        <v>46073</v>
      </c>
      <c r="M54" s="16"/>
      <c r="N54" s="16"/>
      <c r="O54" s="16"/>
      <c r="P54" s="16"/>
      <c r="Q54" s="16"/>
      <c r="R54" s="16"/>
      <c r="S54" s="16"/>
      <c r="T54" s="16" t="s">
        <v>306</v>
      </c>
      <c r="U54" s="39" t="s">
        <v>307</v>
      </c>
      <c r="V54" s="18" t="s">
        <v>308</v>
      </c>
      <c r="W54" s="18"/>
      <c r="X54" s="19" t="str">
        <f t="shared" ca="1" si="1"/>
        <v/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</row>
    <row r="55" spans="1:39" ht="13.5" customHeight="1" x14ac:dyDescent="0.3">
      <c r="A55" s="7">
        <v>46055</v>
      </c>
      <c r="B55" s="17" t="s">
        <v>309</v>
      </c>
      <c r="C55" s="9" t="s">
        <v>76</v>
      </c>
      <c r="D55" s="9">
        <v>12</v>
      </c>
      <c r="E55" s="11">
        <v>300000000</v>
      </c>
      <c r="F55" s="11">
        <f t="shared" si="0"/>
        <v>3600000000</v>
      </c>
      <c r="G55" s="9" t="s">
        <v>26</v>
      </c>
      <c r="H55" s="12" t="s">
        <v>27</v>
      </c>
      <c r="I55" s="36" t="s">
        <v>182</v>
      </c>
      <c r="J55" s="37">
        <v>0.25</v>
      </c>
      <c r="K55" s="9" t="s">
        <v>117</v>
      </c>
      <c r="L55" s="7">
        <v>46082</v>
      </c>
      <c r="M55" s="16"/>
      <c r="N55" s="16"/>
      <c r="O55" s="16"/>
      <c r="P55" s="16"/>
      <c r="Q55" s="16"/>
      <c r="R55" s="16" t="s">
        <v>310</v>
      </c>
      <c r="S55" s="16" t="s">
        <v>311</v>
      </c>
      <c r="T55" s="16" t="s">
        <v>312</v>
      </c>
      <c r="U55" s="39" t="s">
        <v>313</v>
      </c>
      <c r="V55" s="18" t="s">
        <v>314</v>
      </c>
      <c r="W55" s="18"/>
      <c r="X55" s="19" t="str">
        <f t="shared" ca="1" si="1"/>
        <v/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</row>
    <row r="56" spans="1:39" ht="13.5" customHeight="1" x14ac:dyDescent="0.3">
      <c r="A56" s="7">
        <v>46055</v>
      </c>
      <c r="B56" s="17" t="s">
        <v>315</v>
      </c>
      <c r="C56" s="9" t="s">
        <v>76</v>
      </c>
      <c r="D56" s="9">
        <v>12</v>
      </c>
      <c r="E56" s="11">
        <v>180000000</v>
      </c>
      <c r="F56" s="11">
        <f t="shared" si="0"/>
        <v>2160000000</v>
      </c>
      <c r="G56" s="9" t="s">
        <v>26</v>
      </c>
      <c r="H56" s="12" t="s">
        <v>27</v>
      </c>
      <c r="I56" s="36" t="s">
        <v>182</v>
      </c>
      <c r="J56" s="37">
        <v>0.25</v>
      </c>
      <c r="K56" s="9" t="s">
        <v>117</v>
      </c>
      <c r="L56" s="7">
        <v>46080</v>
      </c>
      <c r="M56" s="16"/>
      <c r="N56" s="16"/>
      <c r="O56" s="16"/>
      <c r="P56" s="16"/>
      <c r="Q56" s="16"/>
      <c r="R56" s="16"/>
      <c r="S56" s="16"/>
      <c r="T56" s="16" t="s">
        <v>316</v>
      </c>
      <c r="U56" s="39" t="s">
        <v>313</v>
      </c>
      <c r="V56" s="18" t="s">
        <v>314</v>
      </c>
      <c r="W56" s="18"/>
      <c r="X56" s="19" t="str">
        <f t="shared" ca="1" si="1"/>
        <v/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ht="13.5" customHeight="1" x14ac:dyDescent="0.3">
      <c r="A57" s="7">
        <v>46072</v>
      </c>
      <c r="B57" s="17" t="s">
        <v>317</v>
      </c>
      <c r="C57" s="9" t="s">
        <v>43</v>
      </c>
      <c r="D57" s="9">
        <v>24</v>
      </c>
      <c r="E57" s="11">
        <v>600000000</v>
      </c>
      <c r="F57" s="11">
        <f t="shared" si="0"/>
        <v>14400000000</v>
      </c>
      <c r="G57" s="9" t="s">
        <v>51</v>
      </c>
      <c r="H57" s="28" t="s">
        <v>27</v>
      </c>
      <c r="I57" s="36" t="s">
        <v>116</v>
      </c>
      <c r="J57" s="9"/>
      <c r="K57" s="9" t="s">
        <v>117</v>
      </c>
      <c r="L57" s="7">
        <v>46090</v>
      </c>
      <c r="M57" s="16"/>
      <c r="N57" s="16"/>
      <c r="O57" s="16"/>
      <c r="P57" s="16"/>
      <c r="Q57" s="16"/>
      <c r="R57" s="16"/>
      <c r="S57" s="16"/>
      <c r="T57" s="16" t="s">
        <v>318</v>
      </c>
      <c r="U57" s="17" t="s">
        <v>319</v>
      </c>
      <c r="V57" s="18" t="s">
        <v>320</v>
      </c>
      <c r="W57" s="18"/>
      <c r="X57" s="19" t="str">
        <f t="shared" ca="1" si="1"/>
        <v/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</row>
    <row r="58" spans="1:39" ht="13.5" customHeight="1" x14ac:dyDescent="0.3">
      <c r="A58" s="7">
        <v>46073</v>
      </c>
      <c r="B58" s="17" t="s">
        <v>321</v>
      </c>
      <c r="C58" s="9" t="s">
        <v>47</v>
      </c>
      <c r="D58" s="9">
        <v>12</v>
      </c>
      <c r="E58" s="11">
        <v>45000000</v>
      </c>
      <c r="F58" s="11">
        <f t="shared" si="0"/>
        <v>540000000</v>
      </c>
      <c r="G58" s="9" t="s">
        <v>51</v>
      </c>
      <c r="H58" s="12" t="s">
        <v>27</v>
      </c>
      <c r="I58" s="36" t="s">
        <v>182</v>
      </c>
      <c r="J58" s="37">
        <v>0.25</v>
      </c>
      <c r="K58" s="9" t="s">
        <v>117</v>
      </c>
      <c r="L58" s="7">
        <v>46070</v>
      </c>
      <c r="M58" s="16"/>
      <c r="N58" s="16"/>
      <c r="O58" s="16"/>
      <c r="P58" s="16"/>
      <c r="Q58" s="16"/>
      <c r="R58" s="16"/>
      <c r="S58" s="16"/>
      <c r="T58" s="16" t="s">
        <v>322</v>
      </c>
      <c r="U58" s="39" t="s">
        <v>82</v>
      </c>
      <c r="V58" s="18" t="s">
        <v>323</v>
      </c>
      <c r="W58" s="18"/>
      <c r="X58" s="19" t="str">
        <f t="shared" ca="1" si="1"/>
        <v/>
      </c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</row>
    <row r="59" spans="1:39" ht="13.5" customHeight="1" x14ac:dyDescent="0.3">
      <c r="A59" s="7">
        <v>46076</v>
      </c>
      <c r="B59" s="17" t="s">
        <v>324</v>
      </c>
      <c r="C59" s="9" t="s">
        <v>76</v>
      </c>
      <c r="D59" s="9">
        <v>12</v>
      </c>
      <c r="E59" s="11">
        <v>0</v>
      </c>
      <c r="F59" s="11">
        <f t="shared" si="0"/>
        <v>0</v>
      </c>
      <c r="G59" s="9" t="s">
        <v>26</v>
      </c>
      <c r="H59" s="12" t="s">
        <v>86</v>
      </c>
      <c r="I59" s="36" t="s">
        <v>116</v>
      </c>
      <c r="J59" s="33"/>
      <c r="K59" s="33"/>
      <c r="L59" s="7"/>
      <c r="M59" s="16"/>
      <c r="N59" s="16"/>
      <c r="O59" s="16"/>
      <c r="P59" s="16"/>
      <c r="Q59" s="16"/>
      <c r="R59" s="16"/>
      <c r="S59" s="16"/>
      <c r="T59" s="16" t="s">
        <v>322</v>
      </c>
      <c r="U59" s="17" t="s">
        <v>325</v>
      </c>
      <c r="V59" s="18" t="s">
        <v>326</v>
      </c>
      <c r="W59" s="19"/>
      <c r="X59" s="19" t="str">
        <f t="shared" ca="1" si="1"/>
        <v/>
      </c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</row>
    <row r="60" spans="1:39" ht="13.5" customHeight="1" x14ac:dyDescent="0.3">
      <c r="A60" s="7">
        <v>46076</v>
      </c>
      <c r="B60" s="17" t="s">
        <v>327</v>
      </c>
      <c r="C60" s="9" t="s">
        <v>76</v>
      </c>
      <c r="D60" s="9">
        <v>12</v>
      </c>
      <c r="E60" s="38">
        <v>0</v>
      </c>
      <c r="F60" s="11">
        <f t="shared" si="0"/>
        <v>0</v>
      </c>
      <c r="G60" s="9" t="s">
        <v>26</v>
      </c>
      <c r="H60" s="28" t="s">
        <v>115</v>
      </c>
      <c r="I60" s="36" t="s">
        <v>116</v>
      </c>
      <c r="J60" s="33"/>
      <c r="K60" s="9" t="s">
        <v>144</v>
      </c>
      <c r="L60" s="7">
        <v>46094</v>
      </c>
      <c r="M60" s="43"/>
      <c r="N60" s="43"/>
      <c r="O60" s="43"/>
      <c r="P60" s="43"/>
      <c r="Q60" s="43"/>
      <c r="R60" s="43"/>
      <c r="S60" s="43"/>
      <c r="T60" s="16" t="s">
        <v>322</v>
      </c>
      <c r="U60" s="17" t="s">
        <v>328</v>
      </c>
      <c r="V60" s="18" t="s">
        <v>320</v>
      </c>
      <c r="W60" s="19"/>
      <c r="X60" s="19" t="str">
        <f t="shared" ca="1" si="1"/>
        <v/>
      </c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</row>
    <row r="61" spans="1:39" ht="13.5" customHeight="1" x14ac:dyDescent="0.3">
      <c r="A61" s="7">
        <v>46077</v>
      </c>
      <c r="B61" s="17" t="s">
        <v>329</v>
      </c>
      <c r="C61" s="9" t="s">
        <v>47</v>
      </c>
      <c r="D61" s="9"/>
      <c r="E61" s="38">
        <v>0</v>
      </c>
      <c r="F61" s="11">
        <f t="shared" si="0"/>
        <v>0</v>
      </c>
      <c r="G61" s="9" t="s">
        <v>51</v>
      </c>
      <c r="H61" s="12" t="s">
        <v>116</v>
      </c>
      <c r="I61" s="36" t="s">
        <v>116</v>
      </c>
      <c r="J61" s="33"/>
      <c r="K61" s="33"/>
      <c r="L61" s="7">
        <v>46083</v>
      </c>
      <c r="M61" s="43"/>
      <c r="N61" s="43"/>
      <c r="O61" s="43"/>
      <c r="P61" s="43"/>
      <c r="Q61" s="43"/>
      <c r="R61" s="43"/>
      <c r="S61" s="43"/>
      <c r="T61" s="16" t="s">
        <v>322</v>
      </c>
      <c r="U61" s="45" t="s">
        <v>330</v>
      </c>
      <c r="V61" s="18" t="s">
        <v>331</v>
      </c>
      <c r="W61" s="19"/>
      <c r="X61" s="19" t="str">
        <f t="shared" ca="1" si="1"/>
        <v/>
      </c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</row>
    <row r="62" spans="1:39" ht="13.5" customHeight="1" x14ac:dyDescent="0.3">
      <c r="A62" s="7">
        <v>46077</v>
      </c>
      <c r="B62" s="17" t="s">
        <v>332</v>
      </c>
      <c r="C62" s="9" t="s">
        <v>333</v>
      </c>
      <c r="D62" s="9"/>
      <c r="E62" s="38">
        <v>0</v>
      </c>
      <c r="F62" s="11">
        <f t="shared" si="0"/>
        <v>0</v>
      </c>
      <c r="G62" s="9" t="s">
        <v>51</v>
      </c>
      <c r="H62" s="12" t="s">
        <v>116</v>
      </c>
      <c r="I62" s="36" t="s">
        <v>116</v>
      </c>
      <c r="J62" s="33"/>
      <c r="K62" s="33"/>
      <c r="L62" s="7">
        <v>46094</v>
      </c>
      <c r="M62" s="43"/>
      <c r="N62" s="43"/>
      <c r="O62" s="43"/>
      <c r="P62" s="43"/>
      <c r="Q62" s="43"/>
      <c r="R62" s="43"/>
      <c r="S62" s="43"/>
      <c r="T62" s="16" t="s">
        <v>322</v>
      </c>
      <c r="U62" s="45" t="s">
        <v>334</v>
      </c>
      <c r="V62" s="18" t="s">
        <v>320</v>
      </c>
      <c r="W62" s="19"/>
      <c r="X62" s="19" t="str">
        <f t="shared" ca="1" si="1"/>
        <v/>
      </c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</row>
    <row r="63" spans="1:39" ht="13.5" customHeight="1" x14ac:dyDescent="0.3">
      <c r="A63" s="7">
        <v>46077</v>
      </c>
      <c r="B63" s="17" t="s">
        <v>335</v>
      </c>
      <c r="C63" s="9" t="s">
        <v>76</v>
      </c>
      <c r="D63" s="9">
        <v>12</v>
      </c>
      <c r="E63" s="38">
        <v>0</v>
      </c>
      <c r="F63" s="11">
        <f t="shared" si="0"/>
        <v>0</v>
      </c>
      <c r="G63" s="9" t="s">
        <v>26</v>
      </c>
      <c r="H63" s="28" t="s">
        <v>115</v>
      </c>
      <c r="I63" s="36" t="s">
        <v>116</v>
      </c>
      <c r="J63" s="9"/>
      <c r="K63" s="9" t="s">
        <v>117</v>
      </c>
      <c r="L63" s="7">
        <v>46094</v>
      </c>
      <c r="M63" s="43"/>
      <c r="N63" s="43"/>
      <c r="O63" s="43"/>
      <c r="P63" s="43"/>
      <c r="Q63" s="43"/>
      <c r="R63" s="43"/>
      <c r="S63" s="43"/>
      <c r="T63" s="16" t="s">
        <v>322</v>
      </c>
      <c r="U63" s="45" t="s">
        <v>336</v>
      </c>
      <c r="V63" s="18" t="s">
        <v>320</v>
      </c>
      <c r="W63" s="19"/>
      <c r="X63" s="19" t="str">
        <f t="shared" ca="1" si="1"/>
        <v/>
      </c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ht="13.5" customHeight="1" x14ac:dyDescent="0.3">
      <c r="A64" s="7">
        <v>46077</v>
      </c>
      <c r="B64" s="17" t="s">
        <v>337</v>
      </c>
      <c r="C64" s="9" t="s">
        <v>47</v>
      </c>
      <c r="D64" s="9"/>
      <c r="E64" s="38">
        <v>0</v>
      </c>
      <c r="F64" s="11">
        <f t="shared" si="0"/>
        <v>0</v>
      </c>
      <c r="G64" s="9" t="s">
        <v>51</v>
      </c>
      <c r="H64" s="28" t="s">
        <v>116</v>
      </c>
      <c r="I64" s="36" t="s">
        <v>116</v>
      </c>
      <c r="J64" s="33"/>
      <c r="K64" s="33"/>
      <c r="L64" s="10" t="s">
        <v>145</v>
      </c>
      <c r="M64" s="43"/>
      <c r="N64" s="43"/>
      <c r="O64" s="43"/>
      <c r="P64" s="43"/>
      <c r="Q64" s="43"/>
      <c r="R64" s="43"/>
      <c r="S64" s="43"/>
      <c r="T64" s="16" t="s">
        <v>322</v>
      </c>
      <c r="U64" s="45" t="s">
        <v>338</v>
      </c>
      <c r="V64" s="18" t="s">
        <v>339</v>
      </c>
      <c r="W64" s="19"/>
      <c r="X64" s="19" t="str">
        <f t="shared" ca="1" si="1"/>
        <v/>
      </c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ht="13.5" customHeight="1" x14ac:dyDescent="0.3">
      <c r="A65" s="7">
        <v>46078</v>
      </c>
      <c r="B65" s="17" t="s">
        <v>340</v>
      </c>
      <c r="C65" s="9" t="s">
        <v>341</v>
      </c>
      <c r="D65" s="9">
        <v>12</v>
      </c>
      <c r="E65" s="38">
        <v>0</v>
      </c>
      <c r="F65" s="11">
        <f t="shared" si="0"/>
        <v>0</v>
      </c>
      <c r="G65" s="9" t="s">
        <v>51</v>
      </c>
      <c r="H65" s="28" t="s">
        <v>115</v>
      </c>
      <c r="I65" s="36" t="s">
        <v>116</v>
      </c>
      <c r="J65" s="9"/>
      <c r="K65" s="9" t="s">
        <v>144</v>
      </c>
      <c r="L65" s="10" t="s">
        <v>145</v>
      </c>
      <c r="M65" s="43"/>
      <c r="N65" s="43"/>
      <c r="O65" s="43"/>
      <c r="P65" s="43"/>
      <c r="Q65" s="43"/>
      <c r="R65" s="43"/>
      <c r="S65" s="43"/>
      <c r="T65" s="16" t="s">
        <v>322</v>
      </c>
      <c r="U65" s="45" t="s">
        <v>342</v>
      </c>
      <c r="V65" s="18" t="s">
        <v>343</v>
      </c>
      <c r="W65" s="19"/>
      <c r="X65" s="19" t="str">
        <f t="shared" ca="1" si="1"/>
        <v/>
      </c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</row>
    <row r="66" spans="1:39" ht="15.75" customHeight="1" x14ac:dyDescent="0.3">
      <c r="A66" s="7">
        <v>46076</v>
      </c>
      <c r="B66" s="17" t="s">
        <v>344</v>
      </c>
      <c r="C66" s="9" t="s">
        <v>333</v>
      </c>
      <c r="D66" s="9"/>
      <c r="E66" s="38">
        <v>0</v>
      </c>
      <c r="F66" s="11">
        <f t="shared" si="0"/>
        <v>0</v>
      </c>
      <c r="G66" s="9" t="s">
        <v>26</v>
      </c>
      <c r="H66" s="12" t="s">
        <v>116</v>
      </c>
      <c r="I66" s="32" t="s">
        <v>116</v>
      </c>
      <c r="J66" s="9"/>
      <c r="K66" s="33"/>
      <c r="L66" s="7"/>
      <c r="M66" s="43"/>
      <c r="N66" s="43"/>
      <c r="O66" s="43"/>
      <c r="P66" s="43"/>
      <c r="Q66" s="43"/>
      <c r="R66" s="43"/>
      <c r="S66" s="43"/>
      <c r="T66" s="16"/>
      <c r="U66" s="45" t="s">
        <v>345</v>
      </c>
      <c r="V66" s="18"/>
      <c r="W66" s="19"/>
      <c r="X66" s="19" t="str">
        <f t="shared" ca="1" si="1"/>
        <v/>
      </c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</row>
    <row r="67" spans="1:39" ht="15.75" customHeight="1" x14ac:dyDescent="0.3">
      <c r="A67" s="46">
        <v>46083</v>
      </c>
      <c r="B67" s="17" t="s">
        <v>346</v>
      </c>
      <c r="C67" s="9" t="s">
        <v>43</v>
      </c>
      <c r="D67" s="9">
        <v>12</v>
      </c>
      <c r="E67" s="38">
        <v>0</v>
      </c>
      <c r="F67" s="11">
        <v>0</v>
      </c>
      <c r="G67" s="9" t="s">
        <v>347</v>
      </c>
      <c r="H67" s="12" t="s">
        <v>115</v>
      </c>
      <c r="I67" s="32" t="s">
        <v>116</v>
      </c>
      <c r="J67" s="9"/>
      <c r="K67" s="9" t="s">
        <v>117</v>
      </c>
      <c r="L67" s="7">
        <v>46101</v>
      </c>
      <c r="M67" s="43"/>
      <c r="N67" s="43"/>
      <c r="O67" s="43"/>
      <c r="P67" s="43"/>
      <c r="Q67" s="43"/>
      <c r="R67" s="43"/>
      <c r="S67" s="43"/>
      <c r="T67" s="16" t="s">
        <v>322</v>
      </c>
      <c r="U67" s="45" t="s">
        <v>348</v>
      </c>
      <c r="V67" s="18" t="s">
        <v>320</v>
      </c>
      <c r="W67" s="18" t="s">
        <v>349</v>
      </c>
      <c r="X67" s="19" t="str">
        <f t="shared" ca="1" si="1"/>
        <v/>
      </c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</row>
    <row r="68" spans="1:39" ht="15" customHeight="1" x14ac:dyDescent="0.3">
      <c r="A68" s="46">
        <v>46084</v>
      </c>
      <c r="B68" s="17" t="s">
        <v>350</v>
      </c>
      <c r="C68" s="9" t="s">
        <v>333</v>
      </c>
      <c r="D68" s="9"/>
      <c r="E68" s="38">
        <v>0</v>
      </c>
      <c r="F68" s="11">
        <f t="shared" ref="F68:F70" si="2">D68*E68</f>
        <v>0</v>
      </c>
      <c r="G68" s="9" t="s">
        <v>26</v>
      </c>
      <c r="H68" s="12" t="s">
        <v>116</v>
      </c>
      <c r="I68" s="36" t="s">
        <v>116</v>
      </c>
      <c r="J68" s="9"/>
      <c r="K68" s="33"/>
      <c r="L68" s="7"/>
      <c r="M68" s="43"/>
      <c r="N68" s="43"/>
      <c r="O68" s="43"/>
      <c r="P68" s="43"/>
      <c r="Q68" s="43"/>
      <c r="R68" s="43"/>
      <c r="S68" s="43"/>
      <c r="T68" s="16" t="s">
        <v>322</v>
      </c>
      <c r="U68" s="45" t="s">
        <v>351</v>
      </c>
      <c r="V68" s="18"/>
      <c r="W68" s="19"/>
      <c r="X68" s="19" t="str">
        <f t="shared" ca="1" si="1"/>
        <v/>
      </c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 spans="1:39" ht="14.25" customHeight="1" x14ac:dyDescent="0.3">
      <c r="A69" s="46">
        <v>46084</v>
      </c>
      <c r="B69" s="17" t="s">
        <v>352</v>
      </c>
      <c r="C69" s="9" t="s">
        <v>76</v>
      </c>
      <c r="D69" s="9">
        <v>12</v>
      </c>
      <c r="E69" s="38">
        <v>0</v>
      </c>
      <c r="F69" s="11">
        <f t="shared" si="2"/>
        <v>0</v>
      </c>
      <c r="G69" s="9" t="s">
        <v>26</v>
      </c>
      <c r="H69" s="12" t="s">
        <v>115</v>
      </c>
      <c r="I69" s="36" t="s">
        <v>116</v>
      </c>
      <c r="J69" s="9"/>
      <c r="K69" s="9" t="s">
        <v>144</v>
      </c>
      <c r="L69" s="10" t="s">
        <v>145</v>
      </c>
      <c r="M69" s="43"/>
      <c r="N69" s="43"/>
      <c r="O69" s="43"/>
      <c r="P69" s="43"/>
      <c r="Q69" s="43"/>
      <c r="R69" s="43"/>
      <c r="S69" s="43"/>
      <c r="T69" s="16"/>
      <c r="U69" s="45"/>
      <c r="V69" s="18" t="s">
        <v>353</v>
      </c>
      <c r="W69" s="19"/>
      <c r="X69" s="19" t="str">
        <f t="shared" ca="1" si="1"/>
        <v/>
      </c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</row>
    <row r="70" spans="1:39" ht="14.25" customHeight="1" x14ac:dyDescent="0.3">
      <c r="A70" s="46">
        <v>46084</v>
      </c>
      <c r="B70" s="17" t="s">
        <v>354</v>
      </c>
      <c r="C70" s="9" t="s">
        <v>76</v>
      </c>
      <c r="D70" s="9">
        <v>24</v>
      </c>
      <c r="E70" s="38">
        <v>0</v>
      </c>
      <c r="F70" s="11">
        <f t="shared" si="2"/>
        <v>0</v>
      </c>
      <c r="G70" s="9" t="s">
        <v>51</v>
      </c>
      <c r="H70" s="12" t="s">
        <v>115</v>
      </c>
      <c r="I70" s="36" t="s">
        <v>116</v>
      </c>
      <c r="J70" s="37">
        <v>0</v>
      </c>
      <c r="K70" s="9" t="s">
        <v>355</v>
      </c>
      <c r="L70" s="7">
        <v>46099</v>
      </c>
      <c r="M70" s="43"/>
      <c r="N70" s="43"/>
      <c r="O70" s="43"/>
      <c r="P70" s="43"/>
      <c r="Q70" s="43"/>
      <c r="R70" s="43"/>
      <c r="S70" s="43"/>
      <c r="T70" s="16"/>
      <c r="U70" s="45"/>
      <c r="V70" s="18" t="s">
        <v>356</v>
      </c>
      <c r="W70" s="18"/>
      <c r="X70" s="19" t="str">
        <f t="shared" ca="1" si="1"/>
        <v/>
      </c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ht="14.25" customHeight="1" x14ac:dyDescent="0.3">
      <c r="A71" s="46">
        <v>46087</v>
      </c>
      <c r="B71" s="17" t="s">
        <v>357</v>
      </c>
      <c r="C71" s="9" t="s">
        <v>76</v>
      </c>
      <c r="D71" s="9">
        <v>12</v>
      </c>
      <c r="E71" s="38">
        <v>0</v>
      </c>
      <c r="F71" s="11">
        <v>0</v>
      </c>
      <c r="G71" s="9" t="s">
        <v>51</v>
      </c>
      <c r="H71" s="12" t="s">
        <v>115</v>
      </c>
      <c r="I71" s="36" t="s">
        <v>116</v>
      </c>
      <c r="J71" s="37">
        <v>0</v>
      </c>
      <c r="K71" s="9" t="s">
        <v>144</v>
      </c>
      <c r="L71" s="7">
        <v>46099</v>
      </c>
      <c r="M71" s="43"/>
      <c r="N71" s="43"/>
      <c r="O71" s="43"/>
      <c r="P71" s="43"/>
      <c r="Q71" s="43"/>
      <c r="R71" s="43"/>
      <c r="S71" s="43"/>
      <c r="T71" s="16"/>
      <c r="U71" s="45"/>
      <c r="V71" s="18" t="s">
        <v>358</v>
      </c>
      <c r="W71" s="18"/>
      <c r="X71" s="19" t="str">
        <f t="shared" ca="1" si="1"/>
        <v/>
      </c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</row>
    <row r="72" spans="1:39" ht="16.5" customHeight="1" x14ac:dyDescent="0.3">
      <c r="A72" s="46">
        <v>46086</v>
      </c>
      <c r="B72" s="17" t="s">
        <v>359</v>
      </c>
      <c r="C72" s="9" t="s">
        <v>76</v>
      </c>
      <c r="D72" s="9">
        <v>12</v>
      </c>
      <c r="E72" s="38">
        <v>0</v>
      </c>
      <c r="F72" s="11">
        <v>0</v>
      </c>
      <c r="G72" s="9" t="s">
        <v>51</v>
      </c>
      <c r="H72" s="12" t="s">
        <v>115</v>
      </c>
      <c r="I72" s="36" t="s">
        <v>116</v>
      </c>
      <c r="J72" s="37">
        <v>0</v>
      </c>
      <c r="K72" s="9" t="s">
        <v>117</v>
      </c>
      <c r="L72" s="7">
        <v>46097</v>
      </c>
      <c r="M72" s="43"/>
      <c r="N72" s="43"/>
      <c r="O72" s="43"/>
      <c r="P72" s="43"/>
      <c r="Q72" s="43"/>
      <c r="R72" s="43"/>
      <c r="S72" s="43"/>
      <c r="T72" s="16"/>
      <c r="U72" s="45"/>
      <c r="V72" s="18" t="s">
        <v>360</v>
      </c>
      <c r="W72" s="18"/>
      <c r="X72" s="19" t="str">
        <f t="shared" ca="1" si="1"/>
        <v/>
      </c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</row>
    <row r="73" spans="1:39" ht="16.5" customHeight="1" x14ac:dyDescent="0.3">
      <c r="A73" s="46">
        <v>46090</v>
      </c>
      <c r="B73" s="17" t="s">
        <v>361</v>
      </c>
      <c r="C73" s="9" t="s">
        <v>76</v>
      </c>
      <c r="D73" s="9">
        <v>12</v>
      </c>
      <c r="E73" s="38">
        <v>0</v>
      </c>
      <c r="F73" s="11">
        <v>0</v>
      </c>
      <c r="G73" s="9" t="s">
        <v>51</v>
      </c>
      <c r="H73" s="12" t="s">
        <v>115</v>
      </c>
      <c r="I73" s="36" t="s">
        <v>116</v>
      </c>
      <c r="J73" s="37">
        <v>0</v>
      </c>
      <c r="K73" s="9" t="s">
        <v>117</v>
      </c>
      <c r="L73" s="7">
        <v>46099</v>
      </c>
      <c r="M73" s="43"/>
      <c r="N73" s="43"/>
      <c r="O73" s="43"/>
      <c r="P73" s="43"/>
      <c r="Q73" s="43"/>
      <c r="R73" s="43"/>
      <c r="S73" s="43"/>
      <c r="T73" s="16"/>
      <c r="U73" s="45"/>
      <c r="V73" s="18" t="s">
        <v>362</v>
      </c>
      <c r="W73" s="18"/>
      <c r="X73" s="19" t="str">
        <f t="shared" ca="1" si="1"/>
        <v/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</row>
    <row r="74" spans="1:39" ht="16.5" customHeight="1" x14ac:dyDescent="0.3">
      <c r="A74" s="46">
        <v>46090</v>
      </c>
      <c r="B74" s="17" t="s">
        <v>363</v>
      </c>
      <c r="C74" s="9" t="s">
        <v>47</v>
      </c>
      <c r="D74" s="9">
        <v>12</v>
      </c>
      <c r="E74" s="38">
        <v>0</v>
      </c>
      <c r="F74" s="11">
        <v>0</v>
      </c>
      <c r="G74" s="9" t="s">
        <v>51</v>
      </c>
      <c r="H74" s="12" t="s">
        <v>115</v>
      </c>
      <c r="I74" s="36" t="s">
        <v>116</v>
      </c>
      <c r="J74" s="37">
        <v>0</v>
      </c>
      <c r="K74" s="9"/>
      <c r="L74" s="7">
        <v>46099</v>
      </c>
      <c r="M74" s="43"/>
      <c r="N74" s="43"/>
      <c r="O74" s="43"/>
      <c r="P74" s="43"/>
      <c r="Q74" s="43"/>
      <c r="R74" s="43"/>
      <c r="S74" s="43"/>
      <c r="T74" s="16"/>
      <c r="U74" s="45"/>
      <c r="V74" s="18" t="s">
        <v>364</v>
      </c>
      <c r="W74" s="18"/>
      <c r="X74" s="19" t="str">
        <f t="shared" ca="1" si="1"/>
        <v/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spans="1:39" ht="16.5" customHeight="1" x14ac:dyDescent="0.3">
      <c r="A75" s="46">
        <v>46092</v>
      </c>
      <c r="B75" s="17" t="s">
        <v>365</v>
      </c>
      <c r="C75" s="9" t="s">
        <v>76</v>
      </c>
      <c r="D75" s="9">
        <v>36</v>
      </c>
      <c r="E75" s="38">
        <v>0</v>
      </c>
      <c r="F75" s="11">
        <v>0</v>
      </c>
      <c r="G75" s="9" t="s">
        <v>51</v>
      </c>
      <c r="H75" s="12" t="s">
        <v>86</v>
      </c>
      <c r="I75" s="36" t="s">
        <v>116</v>
      </c>
      <c r="J75" s="37">
        <v>0</v>
      </c>
      <c r="K75" s="9"/>
      <c r="L75" s="7">
        <v>46101</v>
      </c>
      <c r="M75" s="43"/>
      <c r="N75" s="43"/>
      <c r="O75" s="43"/>
      <c r="P75" s="43"/>
      <c r="Q75" s="43"/>
      <c r="R75" s="43"/>
      <c r="S75" s="43"/>
      <c r="T75" s="16"/>
      <c r="U75" s="45"/>
      <c r="V75" s="18" t="s">
        <v>366</v>
      </c>
      <c r="W75" s="18"/>
      <c r="X75" s="19" t="str">
        <f t="shared" ca="1" si="1"/>
        <v/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</row>
    <row r="76" spans="1:39" ht="16.5" customHeight="1" x14ac:dyDescent="0.3">
      <c r="A76" s="46"/>
      <c r="B76" s="17"/>
      <c r="C76" s="9"/>
      <c r="D76" s="9"/>
      <c r="E76" s="38"/>
      <c r="F76" s="11"/>
      <c r="G76" s="9"/>
      <c r="H76" s="12" t="s">
        <v>115</v>
      </c>
      <c r="I76" s="36" t="s">
        <v>116</v>
      </c>
      <c r="J76" s="37">
        <v>0</v>
      </c>
      <c r="K76" s="9"/>
      <c r="L76" s="7"/>
      <c r="M76" s="43"/>
      <c r="N76" s="43"/>
      <c r="O76" s="43"/>
      <c r="P76" s="43"/>
      <c r="Q76" s="43"/>
      <c r="R76" s="43"/>
      <c r="S76" s="43"/>
      <c r="T76" s="16"/>
      <c r="U76" s="45"/>
      <c r="V76" s="18"/>
      <c r="W76" s="18"/>
      <c r="X76" s="19" t="str">
        <f t="shared" ca="1" si="1"/>
        <v/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ht="16.5" customHeight="1" x14ac:dyDescent="0.3">
      <c r="A77" s="46"/>
      <c r="B77" s="17"/>
      <c r="C77" s="9"/>
      <c r="D77" s="9"/>
      <c r="E77" s="38"/>
      <c r="F77" s="11"/>
      <c r="G77" s="9"/>
      <c r="H77" s="12"/>
      <c r="I77" s="36"/>
      <c r="J77" s="9"/>
      <c r="K77" s="9"/>
      <c r="L77" s="7"/>
      <c r="M77" s="43"/>
      <c r="N77" s="43"/>
      <c r="O77" s="43"/>
      <c r="P77" s="43"/>
      <c r="Q77" s="43"/>
      <c r="R77" s="43"/>
      <c r="S77" s="43"/>
      <c r="T77" s="16"/>
      <c r="U77" s="45"/>
      <c r="V77" s="18"/>
      <c r="W77" s="18"/>
      <c r="X77" s="19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</row>
    <row r="78" spans="1:39" ht="14.25" customHeight="1" x14ac:dyDescent="0.3">
      <c r="A78" s="47"/>
      <c r="B78" s="48"/>
      <c r="C78" s="67"/>
      <c r="D78" s="47"/>
      <c r="E78" s="47"/>
      <c r="F78" s="47"/>
      <c r="G78" s="47"/>
      <c r="H78" s="47"/>
      <c r="I78" s="49"/>
      <c r="J78" s="50"/>
      <c r="K78" s="50"/>
      <c r="L78" s="50"/>
      <c r="M78" s="47"/>
      <c r="N78" s="47"/>
      <c r="O78" s="47"/>
      <c r="P78" s="47"/>
      <c r="Q78" s="47"/>
      <c r="R78" s="47"/>
      <c r="S78" s="47"/>
      <c r="T78" s="47"/>
      <c r="U78" s="48"/>
      <c r="V78" s="48"/>
      <c r="W78" s="48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</row>
    <row r="79" spans="1:39" ht="14.25" customHeight="1" x14ac:dyDescent="0.3">
      <c r="A79" s="47"/>
      <c r="B79" s="48"/>
      <c r="C79" s="67"/>
      <c r="D79" s="47"/>
      <c r="E79" s="47"/>
      <c r="F79" s="47"/>
      <c r="G79" s="47"/>
      <c r="H79" s="47"/>
      <c r="I79" s="49"/>
      <c r="J79" s="50"/>
      <c r="K79" s="50"/>
      <c r="L79" s="50"/>
      <c r="M79" s="47"/>
      <c r="N79" s="47"/>
      <c r="O79" s="47"/>
      <c r="P79" s="47"/>
      <c r="Q79" s="47"/>
      <c r="R79" s="47"/>
      <c r="S79" s="47"/>
      <c r="T79" s="47"/>
      <c r="U79" s="48"/>
      <c r="V79" s="48"/>
      <c r="W79" s="48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</row>
    <row r="80" spans="1:39" ht="14.25" customHeight="1" x14ac:dyDescent="0.3">
      <c r="A80" s="47"/>
      <c r="B80" s="48"/>
      <c r="C80" s="67"/>
      <c r="D80" s="47"/>
      <c r="E80" s="47"/>
      <c r="F80" s="47"/>
      <c r="G80" s="47"/>
      <c r="H80" s="47"/>
      <c r="I80" s="49"/>
      <c r="J80" s="50"/>
      <c r="K80" s="50"/>
      <c r="L80" s="50"/>
      <c r="M80" s="47"/>
      <c r="N80" s="47"/>
      <c r="O80" s="47"/>
      <c r="P80" s="47"/>
      <c r="Q80" s="47"/>
      <c r="R80" s="47"/>
      <c r="S80" s="47"/>
      <c r="T80" s="47"/>
      <c r="U80" s="48"/>
      <c r="V80" s="48"/>
      <c r="W80" s="48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</row>
    <row r="81" spans="1:39" ht="14.25" customHeight="1" x14ac:dyDescent="0.3">
      <c r="A81" s="47"/>
      <c r="B81" s="48"/>
      <c r="C81" s="67"/>
      <c r="D81" s="47"/>
      <c r="E81" s="47"/>
      <c r="F81" s="47"/>
      <c r="G81" s="47"/>
      <c r="H81" s="47"/>
      <c r="I81" s="49"/>
      <c r="J81" s="50"/>
      <c r="K81" s="50"/>
      <c r="L81" s="50"/>
      <c r="M81" s="47"/>
      <c r="N81" s="47"/>
      <c r="O81" s="47"/>
      <c r="P81" s="47"/>
      <c r="Q81" s="47"/>
      <c r="R81" s="47"/>
      <c r="S81" s="47"/>
      <c r="T81" s="47"/>
      <c r="U81" s="48"/>
      <c r="V81" s="48"/>
      <c r="W81" s="48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</row>
    <row r="82" spans="1:39" ht="14.25" customHeight="1" x14ac:dyDescent="0.3">
      <c r="A82" s="47"/>
      <c r="B82" s="48"/>
      <c r="C82" s="67"/>
      <c r="D82" s="47"/>
      <c r="E82" s="47"/>
      <c r="F82" s="47"/>
      <c r="G82" s="47"/>
      <c r="H82" s="47"/>
      <c r="I82" s="49"/>
      <c r="J82" s="50"/>
      <c r="K82" s="50"/>
      <c r="L82" s="50"/>
      <c r="M82" s="47"/>
      <c r="N82" s="47"/>
      <c r="O82" s="47"/>
      <c r="P82" s="47"/>
      <c r="Q82" s="47"/>
      <c r="R82" s="47"/>
      <c r="S82" s="47"/>
      <c r="T82" s="47"/>
      <c r="U82" s="48"/>
      <c r="V82" s="48"/>
      <c r="W82" s="48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</row>
    <row r="83" spans="1:39" ht="14.25" customHeight="1" x14ac:dyDescent="0.3">
      <c r="A83" s="47"/>
      <c r="B83" s="48"/>
      <c r="C83" s="67"/>
      <c r="D83" s="47"/>
      <c r="E83" s="47"/>
      <c r="F83" s="47"/>
      <c r="G83" s="47"/>
      <c r="H83" s="47"/>
      <c r="I83" s="49"/>
      <c r="J83" s="50"/>
      <c r="K83" s="50"/>
      <c r="L83" s="50"/>
      <c r="M83" s="47"/>
      <c r="N83" s="47"/>
      <c r="O83" s="47"/>
      <c r="P83" s="47"/>
      <c r="Q83" s="47"/>
      <c r="R83" s="47"/>
      <c r="S83" s="47"/>
      <c r="T83" s="47"/>
      <c r="U83" s="48"/>
      <c r="V83" s="48"/>
      <c r="W83" s="48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</row>
    <row r="84" spans="1:39" ht="14.25" customHeight="1" x14ac:dyDescent="0.3">
      <c r="A84" s="47"/>
      <c r="B84" s="48"/>
      <c r="C84" s="67"/>
      <c r="D84" s="47"/>
      <c r="E84" s="47"/>
      <c r="F84" s="47"/>
      <c r="G84" s="47"/>
      <c r="H84" s="47"/>
      <c r="I84" s="49"/>
      <c r="J84" s="50"/>
      <c r="K84" s="50"/>
      <c r="L84" s="50"/>
      <c r="M84" s="47"/>
      <c r="N84" s="47"/>
      <c r="O84" s="47"/>
      <c r="P84" s="47"/>
      <c r="Q84" s="47"/>
      <c r="R84" s="47"/>
      <c r="S84" s="47"/>
      <c r="T84" s="47"/>
      <c r="U84" s="48"/>
      <c r="V84" s="48"/>
      <c r="W84" s="48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</row>
    <row r="85" spans="1:39" ht="14.25" customHeight="1" x14ac:dyDescent="0.3">
      <c r="A85" s="47"/>
      <c r="B85" s="48"/>
      <c r="C85" s="67"/>
      <c r="D85" s="47"/>
      <c r="E85" s="47"/>
      <c r="F85" s="47"/>
      <c r="G85" s="47"/>
      <c r="H85" s="47"/>
      <c r="I85" s="49"/>
      <c r="J85" s="50"/>
      <c r="K85" s="50"/>
      <c r="L85" s="50"/>
      <c r="M85" s="47"/>
      <c r="N85" s="47"/>
      <c r="O85" s="47"/>
      <c r="P85" s="47"/>
      <c r="Q85" s="47"/>
      <c r="R85" s="47"/>
      <c r="S85" s="47"/>
      <c r="T85" s="47"/>
      <c r="U85" s="48"/>
      <c r="V85" s="48"/>
      <c r="W85" s="48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</row>
    <row r="86" spans="1:39" ht="14.25" customHeight="1" x14ac:dyDescent="0.3">
      <c r="A86" s="47"/>
      <c r="B86" s="48"/>
      <c r="C86" s="67"/>
      <c r="D86" s="47"/>
      <c r="E86" s="47"/>
      <c r="F86" s="47"/>
      <c r="G86" s="47"/>
      <c r="H86" s="47"/>
      <c r="I86" s="49"/>
      <c r="J86" s="50"/>
      <c r="K86" s="50"/>
      <c r="L86" s="50"/>
      <c r="M86" s="47"/>
      <c r="N86" s="47"/>
      <c r="O86" s="47"/>
      <c r="P86" s="47"/>
      <c r="Q86" s="47"/>
      <c r="R86" s="47"/>
      <c r="S86" s="47"/>
      <c r="T86" s="47"/>
      <c r="U86" s="48"/>
      <c r="V86" s="48"/>
      <c r="W86" s="48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</row>
    <row r="87" spans="1:39" ht="14.25" customHeight="1" x14ac:dyDescent="0.3">
      <c r="A87" s="47"/>
      <c r="B87" s="48"/>
      <c r="C87" s="67"/>
      <c r="D87" s="47"/>
      <c r="E87" s="47"/>
      <c r="F87" s="47"/>
      <c r="G87" s="47"/>
      <c r="H87" s="47"/>
      <c r="I87" s="49"/>
      <c r="J87" s="50"/>
      <c r="K87" s="50"/>
      <c r="L87" s="50"/>
      <c r="M87" s="47"/>
      <c r="N87" s="47"/>
      <c r="O87" s="47"/>
      <c r="P87" s="47"/>
      <c r="Q87" s="47"/>
      <c r="R87" s="47"/>
      <c r="S87" s="47"/>
      <c r="T87" s="47"/>
      <c r="U87" s="48"/>
      <c r="V87" s="48"/>
      <c r="W87" s="48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</row>
    <row r="88" spans="1:39" ht="14.25" customHeight="1" x14ac:dyDescent="0.3">
      <c r="A88" s="47"/>
      <c r="B88" s="48"/>
      <c r="C88" s="67"/>
      <c r="D88" s="47"/>
      <c r="E88" s="47"/>
      <c r="F88" s="47"/>
      <c r="G88" s="47"/>
      <c r="H88" s="47"/>
      <c r="I88" s="49"/>
      <c r="J88" s="50"/>
      <c r="K88" s="50"/>
      <c r="L88" s="50"/>
      <c r="M88" s="47"/>
      <c r="N88" s="47"/>
      <c r="O88" s="47"/>
      <c r="P88" s="47"/>
      <c r="Q88" s="47"/>
      <c r="R88" s="47"/>
      <c r="S88" s="47"/>
      <c r="T88" s="47"/>
      <c r="U88" s="48"/>
      <c r="V88" s="48"/>
      <c r="W88" s="48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</row>
    <row r="89" spans="1:39" ht="14.25" customHeight="1" x14ac:dyDescent="0.3">
      <c r="A89" s="47"/>
      <c r="B89" s="48"/>
      <c r="C89" s="67"/>
      <c r="D89" s="47"/>
      <c r="E89" s="47"/>
      <c r="F89" s="47"/>
      <c r="G89" s="47"/>
      <c r="H89" s="47"/>
      <c r="I89" s="49"/>
      <c r="J89" s="50"/>
      <c r="K89" s="50"/>
      <c r="L89" s="50"/>
      <c r="M89" s="47"/>
      <c r="N89" s="47"/>
      <c r="O89" s="47"/>
      <c r="P89" s="47"/>
      <c r="Q89" s="47"/>
      <c r="R89" s="47"/>
      <c r="S89" s="47"/>
      <c r="T89" s="47"/>
      <c r="U89" s="48"/>
      <c r="V89" s="48"/>
      <c r="W89" s="48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</row>
    <row r="90" spans="1:39" ht="14.25" customHeight="1" x14ac:dyDescent="0.3">
      <c r="A90" s="47"/>
      <c r="B90" s="48"/>
      <c r="C90" s="67"/>
      <c r="D90" s="47"/>
      <c r="E90" s="47"/>
      <c r="F90" s="47"/>
      <c r="G90" s="47"/>
      <c r="H90" s="47"/>
      <c r="I90" s="49"/>
      <c r="J90" s="50"/>
      <c r="K90" s="50"/>
      <c r="L90" s="50"/>
      <c r="M90" s="47"/>
      <c r="N90" s="47"/>
      <c r="O90" s="47"/>
      <c r="P90" s="47"/>
      <c r="Q90" s="47"/>
      <c r="R90" s="47"/>
      <c r="S90" s="47"/>
      <c r="T90" s="47"/>
      <c r="U90" s="48"/>
      <c r="V90" s="48"/>
      <c r="W90" s="48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</row>
    <row r="91" spans="1:39" ht="14.25" customHeight="1" x14ac:dyDescent="0.3">
      <c r="A91" s="47"/>
      <c r="B91" s="48"/>
      <c r="C91" s="67"/>
      <c r="D91" s="47"/>
      <c r="E91" s="47"/>
      <c r="F91" s="47"/>
      <c r="G91" s="47"/>
      <c r="H91" s="47"/>
      <c r="I91" s="49"/>
      <c r="J91" s="50"/>
      <c r="K91" s="50"/>
      <c r="L91" s="50"/>
      <c r="M91" s="47"/>
      <c r="N91" s="47"/>
      <c r="O91" s="47"/>
      <c r="P91" s="47"/>
      <c r="Q91" s="47"/>
      <c r="R91" s="47"/>
      <c r="S91" s="47"/>
      <c r="T91" s="47"/>
      <c r="U91" s="48"/>
      <c r="V91" s="48"/>
      <c r="W91" s="48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</row>
    <row r="92" spans="1:39" ht="14.25" customHeight="1" x14ac:dyDescent="0.3">
      <c r="A92" s="47"/>
      <c r="B92" s="48"/>
      <c r="C92" s="67"/>
      <c r="D92" s="47"/>
      <c r="E92" s="47"/>
      <c r="F92" s="47"/>
      <c r="G92" s="47"/>
      <c r="H92" s="47"/>
      <c r="I92" s="49"/>
      <c r="J92" s="50"/>
      <c r="K92" s="50"/>
      <c r="L92" s="50"/>
      <c r="M92" s="47"/>
      <c r="N92" s="47"/>
      <c r="O92" s="47"/>
      <c r="P92" s="47"/>
      <c r="Q92" s="47"/>
      <c r="R92" s="47"/>
      <c r="S92" s="47"/>
      <c r="T92" s="47"/>
      <c r="U92" s="48"/>
      <c r="V92" s="48"/>
      <c r="W92" s="48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</row>
    <row r="93" spans="1:39" ht="14.25" customHeight="1" x14ac:dyDescent="0.3">
      <c r="A93" s="47"/>
      <c r="B93" s="48"/>
      <c r="C93" s="67"/>
      <c r="D93" s="47"/>
      <c r="E93" s="47"/>
      <c r="F93" s="47"/>
      <c r="G93" s="47"/>
      <c r="H93" s="47"/>
      <c r="I93" s="49"/>
      <c r="J93" s="50"/>
      <c r="K93" s="50"/>
      <c r="L93" s="50"/>
      <c r="M93" s="47"/>
      <c r="N93" s="47"/>
      <c r="O93" s="47"/>
      <c r="P93" s="47"/>
      <c r="Q93" s="47"/>
      <c r="R93" s="47"/>
      <c r="S93" s="47"/>
      <c r="T93" s="47"/>
      <c r="U93" s="48"/>
      <c r="V93" s="48"/>
      <c r="W93" s="48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</row>
    <row r="94" spans="1:39" ht="14.25" customHeight="1" x14ac:dyDescent="0.3">
      <c r="A94" s="47"/>
      <c r="B94" s="48"/>
      <c r="C94" s="67"/>
      <c r="D94" s="47"/>
      <c r="E94" s="47"/>
      <c r="F94" s="47"/>
      <c r="G94" s="47"/>
      <c r="H94" s="47"/>
      <c r="I94" s="49"/>
      <c r="J94" s="50"/>
      <c r="K94" s="50"/>
      <c r="L94" s="50"/>
      <c r="M94" s="47"/>
      <c r="N94" s="47"/>
      <c r="O94" s="47"/>
      <c r="P94" s="47"/>
      <c r="Q94" s="47"/>
      <c r="R94" s="47"/>
      <c r="S94" s="47"/>
      <c r="T94" s="47"/>
      <c r="U94" s="48"/>
      <c r="V94" s="48"/>
      <c r="W94" s="48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</row>
    <row r="95" spans="1:39" ht="14.25" customHeight="1" x14ac:dyDescent="0.3">
      <c r="A95" s="47"/>
      <c r="B95" s="48"/>
      <c r="C95" s="67"/>
      <c r="D95" s="47"/>
      <c r="E95" s="47"/>
      <c r="F95" s="47"/>
      <c r="G95" s="47"/>
      <c r="H95" s="47"/>
      <c r="I95" s="49"/>
      <c r="J95" s="50"/>
      <c r="K95" s="50"/>
      <c r="L95" s="50"/>
      <c r="M95" s="47"/>
      <c r="N95" s="47"/>
      <c r="O95" s="47"/>
      <c r="P95" s="47"/>
      <c r="Q95" s="47"/>
      <c r="R95" s="47"/>
      <c r="S95" s="47"/>
      <c r="T95" s="47"/>
      <c r="U95" s="48"/>
      <c r="V95" s="48"/>
      <c r="W95" s="48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</row>
    <row r="96" spans="1:39" ht="14.25" customHeight="1" x14ac:dyDescent="0.3">
      <c r="A96" s="47"/>
      <c r="B96" s="48"/>
      <c r="C96" s="67"/>
      <c r="D96" s="47"/>
      <c r="E96" s="47"/>
      <c r="F96" s="47"/>
      <c r="G96" s="47"/>
      <c r="H96" s="47"/>
      <c r="I96" s="49"/>
      <c r="J96" s="50"/>
      <c r="K96" s="50"/>
      <c r="L96" s="50"/>
      <c r="M96" s="47"/>
      <c r="N96" s="47"/>
      <c r="O96" s="47"/>
      <c r="P96" s="47"/>
      <c r="Q96" s="47"/>
      <c r="R96" s="47"/>
      <c r="S96" s="47"/>
      <c r="T96" s="47"/>
      <c r="U96" s="48"/>
      <c r="V96" s="48"/>
      <c r="W96" s="48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</row>
    <row r="97" spans="1:39" ht="14.25" customHeight="1" x14ac:dyDescent="0.3">
      <c r="A97" s="47"/>
      <c r="B97" s="48"/>
      <c r="C97" s="67"/>
      <c r="D97" s="47"/>
      <c r="E97" s="47"/>
      <c r="F97" s="47"/>
      <c r="G97" s="47"/>
      <c r="H97" s="47"/>
      <c r="I97" s="49"/>
      <c r="J97" s="50"/>
      <c r="K97" s="50"/>
      <c r="L97" s="50"/>
      <c r="M97" s="47"/>
      <c r="N97" s="47"/>
      <c r="O97" s="47"/>
      <c r="P97" s="47"/>
      <c r="Q97" s="47"/>
      <c r="R97" s="47"/>
      <c r="S97" s="47"/>
      <c r="T97" s="47"/>
      <c r="U97" s="48"/>
      <c r="V97" s="48"/>
      <c r="W97" s="48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</row>
    <row r="98" spans="1:39" ht="14.25" customHeight="1" x14ac:dyDescent="0.3">
      <c r="A98" s="47"/>
      <c r="B98" s="48"/>
      <c r="C98" s="67"/>
      <c r="D98" s="47"/>
      <c r="E98" s="47"/>
      <c r="F98" s="47"/>
      <c r="G98" s="47"/>
      <c r="H98" s="47"/>
      <c r="I98" s="49"/>
      <c r="J98" s="50"/>
      <c r="K98" s="50"/>
      <c r="L98" s="50"/>
      <c r="M98" s="47"/>
      <c r="N98" s="47"/>
      <c r="O98" s="47"/>
      <c r="P98" s="47"/>
      <c r="Q98" s="47"/>
      <c r="R98" s="47"/>
      <c r="S98" s="47"/>
      <c r="T98" s="47"/>
      <c r="U98" s="48"/>
      <c r="V98" s="48"/>
      <c r="W98" s="48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</row>
    <row r="99" spans="1:39" ht="14.25" customHeight="1" x14ac:dyDescent="0.3">
      <c r="A99" s="47"/>
      <c r="B99" s="48"/>
      <c r="C99" s="67"/>
      <c r="D99" s="47"/>
      <c r="E99" s="47"/>
      <c r="F99" s="47"/>
      <c r="G99" s="47"/>
      <c r="H99" s="47"/>
      <c r="I99" s="49"/>
      <c r="J99" s="50"/>
      <c r="K99" s="50"/>
      <c r="L99" s="50"/>
      <c r="M99" s="47"/>
      <c r="N99" s="47"/>
      <c r="O99" s="47"/>
      <c r="P99" s="47"/>
      <c r="Q99" s="47"/>
      <c r="R99" s="47"/>
      <c r="S99" s="47"/>
      <c r="T99" s="47"/>
      <c r="U99" s="48"/>
      <c r="V99" s="48"/>
      <c r="W99" s="48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</row>
    <row r="100" spans="1:39" ht="14.25" customHeight="1" x14ac:dyDescent="0.3">
      <c r="A100" s="47"/>
      <c r="B100" s="48"/>
      <c r="C100" s="67"/>
      <c r="D100" s="47"/>
      <c r="E100" s="47"/>
      <c r="F100" s="47"/>
      <c r="G100" s="47"/>
      <c r="H100" s="47"/>
      <c r="I100" s="49"/>
      <c r="J100" s="50"/>
      <c r="K100" s="50"/>
      <c r="L100" s="50"/>
      <c r="M100" s="47"/>
      <c r="N100" s="47"/>
      <c r="O100" s="47"/>
      <c r="P100" s="47"/>
      <c r="Q100" s="47"/>
      <c r="R100" s="47"/>
      <c r="S100" s="47"/>
      <c r="T100" s="47"/>
      <c r="U100" s="48"/>
      <c r="V100" s="48"/>
      <c r="W100" s="48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</row>
    <row r="101" spans="1:39" ht="14.25" customHeight="1" x14ac:dyDescent="0.3">
      <c r="A101" s="47"/>
      <c r="B101" s="48"/>
      <c r="C101" s="67"/>
      <c r="D101" s="47"/>
      <c r="E101" s="47"/>
      <c r="F101" s="47"/>
      <c r="G101" s="47"/>
      <c r="H101" s="47"/>
      <c r="I101" s="49"/>
      <c r="J101" s="50"/>
      <c r="K101" s="50"/>
      <c r="L101" s="50"/>
      <c r="M101" s="47"/>
      <c r="N101" s="47"/>
      <c r="O101" s="47"/>
      <c r="P101" s="47"/>
      <c r="Q101" s="47"/>
      <c r="R101" s="47"/>
      <c r="S101" s="47"/>
      <c r="T101" s="47"/>
      <c r="U101" s="48"/>
      <c r="V101" s="48"/>
      <c r="W101" s="48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</row>
    <row r="102" spans="1:39" ht="14.25" customHeight="1" x14ac:dyDescent="0.3">
      <c r="A102" s="47"/>
      <c r="B102" s="48"/>
      <c r="C102" s="67"/>
      <c r="D102" s="47"/>
      <c r="E102" s="47"/>
      <c r="F102" s="47"/>
      <c r="G102" s="47"/>
      <c r="H102" s="47"/>
      <c r="I102" s="49"/>
      <c r="J102" s="50"/>
      <c r="K102" s="50"/>
      <c r="L102" s="50"/>
      <c r="M102" s="47"/>
      <c r="N102" s="47"/>
      <c r="O102" s="47"/>
      <c r="P102" s="47"/>
      <c r="Q102" s="47"/>
      <c r="R102" s="47"/>
      <c r="S102" s="47"/>
      <c r="T102" s="47"/>
      <c r="U102" s="48"/>
      <c r="V102" s="48"/>
      <c r="W102" s="48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</row>
    <row r="103" spans="1:39" ht="14.25" customHeight="1" x14ac:dyDescent="0.3">
      <c r="A103" s="47"/>
      <c r="B103" s="48"/>
      <c r="C103" s="67"/>
      <c r="D103" s="47"/>
      <c r="E103" s="47"/>
      <c r="F103" s="47"/>
      <c r="G103" s="47"/>
      <c r="H103" s="47"/>
      <c r="I103" s="49"/>
      <c r="J103" s="50"/>
      <c r="K103" s="50"/>
      <c r="L103" s="50"/>
      <c r="M103" s="47"/>
      <c r="N103" s="47"/>
      <c r="O103" s="47"/>
      <c r="P103" s="47"/>
      <c r="Q103" s="47"/>
      <c r="R103" s="47"/>
      <c r="S103" s="47"/>
      <c r="T103" s="47"/>
      <c r="U103" s="48"/>
      <c r="V103" s="48"/>
      <c r="W103" s="48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</row>
    <row r="104" spans="1:39" ht="14.25" customHeight="1" x14ac:dyDescent="0.3">
      <c r="A104" s="47"/>
      <c r="B104" s="48"/>
      <c r="C104" s="67"/>
      <c r="D104" s="47"/>
      <c r="E104" s="47"/>
      <c r="F104" s="47"/>
      <c r="G104" s="47"/>
      <c r="H104" s="47"/>
      <c r="I104" s="49"/>
      <c r="J104" s="50"/>
      <c r="K104" s="50"/>
      <c r="L104" s="50"/>
      <c r="M104" s="47"/>
      <c r="N104" s="47"/>
      <c r="O104" s="47"/>
      <c r="P104" s="47"/>
      <c r="Q104" s="47"/>
      <c r="R104" s="47"/>
      <c r="S104" s="47"/>
      <c r="T104" s="47"/>
      <c r="U104" s="48"/>
      <c r="V104" s="48"/>
      <c r="W104" s="48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</row>
    <row r="105" spans="1:39" ht="14.25" customHeight="1" x14ac:dyDescent="0.3">
      <c r="A105" s="47"/>
      <c r="B105" s="48"/>
      <c r="C105" s="67"/>
      <c r="D105" s="47"/>
      <c r="E105" s="47"/>
      <c r="F105" s="47"/>
      <c r="G105" s="47"/>
      <c r="H105" s="47"/>
      <c r="I105" s="49"/>
      <c r="J105" s="50"/>
      <c r="K105" s="50"/>
      <c r="L105" s="50"/>
      <c r="M105" s="47"/>
      <c r="N105" s="47"/>
      <c r="O105" s="47"/>
      <c r="P105" s="47"/>
      <c r="Q105" s="47"/>
      <c r="R105" s="47"/>
      <c r="S105" s="47"/>
      <c r="T105" s="47"/>
      <c r="U105" s="48"/>
      <c r="V105" s="48"/>
      <c r="W105" s="48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</row>
    <row r="106" spans="1:39" ht="14.25" customHeight="1" x14ac:dyDescent="0.3">
      <c r="A106" s="47"/>
      <c r="B106" s="48"/>
      <c r="C106" s="67"/>
      <c r="D106" s="47"/>
      <c r="E106" s="47"/>
      <c r="F106" s="47"/>
      <c r="G106" s="47"/>
      <c r="H106" s="47"/>
      <c r="I106" s="49"/>
      <c r="J106" s="50"/>
      <c r="K106" s="50"/>
      <c r="L106" s="50"/>
      <c r="M106" s="47"/>
      <c r="N106" s="47"/>
      <c r="O106" s="47"/>
      <c r="P106" s="47"/>
      <c r="Q106" s="47"/>
      <c r="R106" s="47"/>
      <c r="S106" s="47"/>
      <c r="T106" s="47"/>
      <c r="U106" s="48"/>
      <c r="V106" s="48"/>
      <c r="W106" s="48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</row>
    <row r="107" spans="1:39" ht="14.25" customHeight="1" x14ac:dyDescent="0.3">
      <c r="A107" s="47"/>
      <c r="B107" s="48"/>
      <c r="C107" s="67"/>
      <c r="D107" s="47"/>
      <c r="E107" s="47"/>
      <c r="F107" s="47"/>
      <c r="G107" s="47"/>
      <c r="H107" s="47"/>
      <c r="I107" s="49"/>
      <c r="J107" s="50"/>
      <c r="K107" s="50"/>
      <c r="L107" s="50"/>
      <c r="M107" s="47"/>
      <c r="N107" s="47"/>
      <c r="O107" s="47"/>
      <c r="P107" s="47"/>
      <c r="Q107" s="47"/>
      <c r="R107" s="47"/>
      <c r="S107" s="47"/>
      <c r="T107" s="47"/>
      <c r="U107" s="48"/>
      <c r="V107" s="48"/>
      <c r="W107" s="48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</row>
    <row r="108" spans="1:39" ht="14.25" customHeight="1" x14ac:dyDescent="0.3">
      <c r="A108" s="47"/>
      <c r="B108" s="48"/>
      <c r="C108" s="67"/>
      <c r="D108" s="47"/>
      <c r="E108" s="47"/>
      <c r="F108" s="47"/>
      <c r="G108" s="47"/>
      <c r="H108" s="47"/>
      <c r="I108" s="49"/>
      <c r="J108" s="50"/>
      <c r="K108" s="50"/>
      <c r="L108" s="50"/>
      <c r="M108" s="47"/>
      <c r="N108" s="47"/>
      <c r="O108" s="47"/>
      <c r="P108" s="47"/>
      <c r="Q108" s="47"/>
      <c r="R108" s="47"/>
      <c r="S108" s="47"/>
      <c r="T108" s="47"/>
      <c r="U108" s="48"/>
      <c r="V108" s="48"/>
      <c r="W108" s="48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</row>
    <row r="109" spans="1:39" ht="14.25" customHeight="1" x14ac:dyDescent="0.3">
      <c r="A109" s="47"/>
      <c r="B109" s="48"/>
      <c r="C109" s="67"/>
      <c r="D109" s="47"/>
      <c r="E109" s="47"/>
      <c r="F109" s="47"/>
      <c r="G109" s="47"/>
      <c r="H109" s="47"/>
      <c r="I109" s="49"/>
      <c r="J109" s="50"/>
      <c r="K109" s="50"/>
      <c r="L109" s="50"/>
      <c r="M109" s="47"/>
      <c r="N109" s="47"/>
      <c r="O109" s="47"/>
      <c r="P109" s="47"/>
      <c r="Q109" s="47"/>
      <c r="R109" s="47"/>
      <c r="S109" s="47"/>
      <c r="T109" s="47"/>
      <c r="U109" s="48"/>
      <c r="V109" s="48"/>
      <c r="W109" s="48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</row>
    <row r="110" spans="1:39" ht="14.25" customHeight="1" x14ac:dyDescent="0.3">
      <c r="A110" s="47"/>
      <c r="B110" s="48"/>
      <c r="C110" s="67"/>
      <c r="D110" s="47"/>
      <c r="E110" s="47"/>
      <c r="F110" s="47"/>
      <c r="G110" s="47"/>
      <c r="H110" s="47"/>
      <c r="I110" s="49"/>
      <c r="J110" s="50"/>
      <c r="K110" s="50"/>
      <c r="L110" s="50"/>
      <c r="M110" s="47"/>
      <c r="N110" s="47"/>
      <c r="O110" s="47"/>
      <c r="P110" s="47"/>
      <c r="Q110" s="47"/>
      <c r="R110" s="47"/>
      <c r="S110" s="47"/>
      <c r="T110" s="47"/>
      <c r="U110" s="48"/>
      <c r="V110" s="48"/>
      <c r="W110" s="48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</row>
    <row r="111" spans="1:39" ht="14.25" customHeight="1" x14ac:dyDescent="0.3">
      <c r="A111" s="47"/>
      <c r="B111" s="48"/>
      <c r="C111" s="67"/>
      <c r="D111" s="47"/>
      <c r="E111" s="47"/>
      <c r="F111" s="47"/>
      <c r="G111" s="47"/>
      <c r="H111" s="47"/>
      <c r="I111" s="49"/>
      <c r="J111" s="50"/>
      <c r="K111" s="50"/>
      <c r="L111" s="50"/>
      <c r="M111" s="47"/>
      <c r="N111" s="47"/>
      <c r="O111" s="47"/>
      <c r="P111" s="47"/>
      <c r="Q111" s="47"/>
      <c r="R111" s="47"/>
      <c r="S111" s="47"/>
      <c r="T111" s="47"/>
      <c r="U111" s="48"/>
      <c r="V111" s="48"/>
      <c r="W111" s="48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</row>
    <row r="112" spans="1:39" ht="14.25" customHeight="1" x14ac:dyDescent="0.3">
      <c r="A112" s="47"/>
      <c r="B112" s="48"/>
      <c r="C112" s="67"/>
      <c r="D112" s="47"/>
      <c r="E112" s="47"/>
      <c r="F112" s="47"/>
      <c r="G112" s="47"/>
      <c r="H112" s="47"/>
      <c r="I112" s="49"/>
      <c r="J112" s="50"/>
      <c r="K112" s="50"/>
      <c r="L112" s="50"/>
      <c r="M112" s="47"/>
      <c r="N112" s="47"/>
      <c r="O112" s="47"/>
      <c r="P112" s="47"/>
      <c r="Q112" s="47"/>
      <c r="R112" s="47"/>
      <c r="S112" s="47"/>
      <c r="T112" s="47"/>
      <c r="U112" s="48"/>
      <c r="V112" s="48"/>
      <c r="W112" s="48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</row>
    <row r="113" spans="1:39" ht="14.25" customHeight="1" x14ac:dyDescent="0.3">
      <c r="A113" s="47"/>
      <c r="B113" s="48"/>
      <c r="C113" s="67"/>
      <c r="D113" s="47"/>
      <c r="E113" s="47"/>
      <c r="F113" s="47"/>
      <c r="G113" s="47"/>
      <c r="H113" s="47"/>
      <c r="I113" s="49"/>
      <c r="J113" s="50"/>
      <c r="K113" s="50"/>
      <c r="L113" s="50"/>
      <c r="M113" s="47"/>
      <c r="N113" s="47"/>
      <c r="O113" s="47"/>
      <c r="P113" s="47"/>
      <c r="Q113" s="47"/>
      <c r="R113" s="47"/>
      <c r="S113" s="47"/>
      <c r="T113" s="47"/>
      <c r="U113" s="48"/>
      <c r="V113" s="48"/>
      <c r="W113" s="48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</row>
    <row r="114" spans="1:39" ht="14.25" customHeight="1" x14ac:dyDescent="0.3">
      <c r="A114" s="47"/>
      <c r="B114" s="48"/>
      <c r="C114" s="67"/>
      <c r="D114" s="47"/>
      <c r="E114" s="47"/>
      <c r="F114" s="47"/>
      <c r="G114" s="47"/>
      <c r="H114" s="47"/>
      <c r="I114" s="49"/>
      <c r="J114" s="50"/>
      <c r="K114" s="50"/>
      <c r="L114" s="50"/>
      <c r="M114" s="47"/>
      <c r="N114" s="47"/>
      <c r="O114" s="47"/>
      <c r="P114" s="47"/>
      <c r="Q114" s="47"/>
      <c r="R114" s="47"/>
      <c r="S114" s="47"/>
      <c r="T114" s="47"/>
      <c r="U114" s="48"/>
      <c r="V114" s="48"/>
      <c r="W114" s="48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</row>
    <row r="115" spans="1:39" ht="14.25" customHeight="1" x14ac:dyDescent="0.3">
      <c r="A115" s="47"/>
      <c r="B115" s="48"/>
      <c r="C115" s="67"/>
      <c r="D115" s="47"/>
      <c r="E115" s="47"/>
      <c r="F115" s="47"/>
      <c r="G115" s="47"/>
      <c r="H115" s="47"/>
      <c r="I115" s="49"/>
      <c r="J115" s="50"/>
      <c r="K115" s="50"/>
      <c r="L115" s="50"/>
      <c r="M115" s="47"/>
      <c r="N115" s="47"/>
      <c r="O115" s="47"/>
      <c r="P115" s="47"/>
      <c r="Q115" s="47"/>
      <c r="R115" s="47"/>
      <c r="S115" s="47"/>
      <c r="T115" s="47"/>
      <c r="U115" s="48"/>
      <c r="V115" s="48"/>
      <c r="W115" s="48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</row>
    <row r="116" spans="1:39" ht="14.25" customHeight="1" x14ac:dyDescent="0.3">
      <c r="A116" s="47"/>
      <c r="B116" s="48"/>
      <c r="C116" s="67"/>
      <c r="D116" s="47"/>
      <c r="E116" s="47"/>
      <c r="F116" s="47"/>
      <c r="G116" s="47"/>
      <c r="H116" s="47"/>
      <c r="I116" s="49"/>
      <c r="J116" s="50"/>
      <c r="K116" s="50"/>
      <c r="L116" s="50"/>
      <c r="M116" s="47"/>
      <c r="N116" s="47"/>
      <c r="O116" s="47"/>
      <c r="P116" s="47"/>
      <c r="Q116" s="47"/>
      <c r="R116" s="47"/>
      <c r="S116" s="47"/>
      <c r="T116" s="47"/>
      <c r="U116" s="48"/>
      <c r="V116" s="48"/>
      <c r="W116" s="48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</row>
    <row r="117" spans="1:39" ht="14.25" customHeight="1" x14ac:dyDescent="0.3">
      <c r="A117" s="47"/>
      <c r="B117" s="48"/>
      <c r="C117" s="67"/>
      <c r="D117" s="47"/>
      <c r="E117" s="47"/>
      <c r="F117" s="47"/>
      <c r="G117" s="47"/>
      <c r="H117" s="47"/>
      <c r="I117" s="49"/>
      <c r="J117" s="50"/>
      <c r="K117" s="50"/>
      <c r="L117" s="50"/>
      <c r="M117" s="47"/>
      <c r="N117" s="47"/>
      <c r="O117" s="47"/>
      <c r="P117" s="47"/>
      <c r="Q117" s="47"/>
      <c r="R117" s="47"/>
      <c r="S117" s="47"/>
      <c r="T117" s="47"/>
      <c r="U117" s="48"/>
      <c r="V117" s="48"/>
      <c r="W117" s="48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</row>
    <row r="118" spans="1:39" ht="14.25" customHeight="1" x14ac:dyDescent="0.3">
      <c r="A118" s="47"/>
      <c r="B118" s="48"/>
      <c r="C118" s="67"/>
      <c r="D118" s="47"/>
      <c r="E118" s="47"/>
      <c r="F118" s="47"/>
      <c r="G118" s="47"/>
      <c r="H118" s="47"/>
      <c r="I118" s="49"/>
      <c r="J118" s="50"/>
      <c r="K118" s="50"/>
      <c r="L118" s="50"/>
      <c r="M118" s="47"/>
      <c r="N118" s="47"/>
      <c r="O118" s="47"/>
      <c r="P118" s="47"/>
      <c r="Q118" s="47"/>
      <c r="R118" s="47"/>
      <c r="S118" s="47"/>
      <c r="T118" s="47"/>
      <c r="U118" s="48"/>
      <c r="V118" s="48"/>
      <c r="W118" s="48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</row>
    <row r="119" spans="1:39" ht="14.25" customHeight="1" x14ac:dyDescent="0.3">
      <c r="A119" s="47"/>
      <c r="B119" s="48"/>
      <c r="C119" s="67"/>
      <c r="D119" s="47"/>
      <c r="E119" s="47"/>
      <c r="F119" s="47"/>
      <c r="G119" s="47"/>
      <c r="H119" s="47"/>
      <c r="I119" s="49"/>
      <c r="J119" s="50"/>
      <c r="K119" s="50"/>
      <c r="L119" s="50"/>
      <c r="M119" s="47"/>
      <c r="N119" s="47"/>
      <c r="O119" s="47"/>
      <c r="P119" s="47"/>
      <c r="Q119" s="47"/>
      <c r="R119" s="47"/>
      <c r="S119" s="47"/>
      <c r="T119" s="47"/>
      <c r="U119" s="48"/>
      <c r="V119" s="48"/>
      <c r="W119" s="48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</row>
    <row r="120" spans="1:39" ht="14.25" customHeight="1" x14ac:dyDescent="0.3">
      <c r="A120" s="47"/>
      <c r="B120" s="48"/>
      <c r="C120" s="67"/>
      <c r="D120" s="47"/>
      <c r="E120" s="47"/>
      <c r="F120" s="47"/>
      <c r="G120" s="47"/>
      <c r="H120" s="47"/>
      <c r="I120" s="49"/>
      <c r="J120" s="50"/>
      <c r="K120" s="50"/>
      <c r="L120" s="50"/>
      <c r="M120" s="47"/>
      <c r="N120" s="47"/>
      <c r="O120" s="47"/>
      <c r="P120" s="47"/>
      <c r="Q120" s="47"/>
      <c r="R120" s="47"/>
      <c r="S120" s="47"/>
      <c r="T120" s="47"/>
      <c r="U120" s="48"/>
      <c r="V120" s="48"/>
      <c r="W120" s="48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</row>
    <row r="121" spans="1:39" ht="14.25" customHeight="1" x14ac:dyDescent="0.3">
      <c r="A121" s="47"/>
      <c r="B121" s="48"/>
      <c r="C121" s="67"/>
      <c r="D121" s="47"/>
      <c r="E121" s="47"/>
      <c r="F121" s="47"/>
      <c r="G121" s="47"/>
      <c r="H121" s="47"/>
      <c r="I121" s="49"/>
      <c r="J121" s="50"/>
      <c r="K121" s="50"/>
      <c r="L121" s="50"/>
      <c r="M121" s="47"/>
      <c r="N121" s="47"/>
      <c r="O121" s="47"/>
      <c r="P121" s="47"/>
      <c r="Q121" s="47"/>
      <c r="R121" s="47"/>
      <c r="S121" s="47"/>
      <c r="T121" s="47"/>
      <c r="U121" s="48"/>
      <c r="V121" s="48"/>
      <c r="W121" s="48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</row>
    <row r="122" spans="1:39" ht="14.25" customHeight="1" x14ac:dyDescent="0.3">
      <c r="A122" s="47"/>
      <c r="B122" s="48"/>
      <c r="C122" s="67"/>
      <c r="D122" s="47"/>
      <c r="E122" s="47"/>
      <c r="F122" s="47"/>
      <c r="G122" s="47"/>
      <c r="H122" s="47"/>
      <c r="I122" s="49"/>
      <c r="J122" s="50"/>
      <c r="K122" s="50"/>
      <c r="L122" s="50"/>
      <c r="M122" s="47"/>
      <c r="N122" s="47"/>
      <c r="O122" s="47"/>
      <c r="P122" s="47"/>
      <c r="Q122" s="47"/>
      <c r="R122" s="47"/>
      <c r="S122" s="47"/>
      <c r="T122" s="47"/>
      <c r="U122" s="48"/>
      <c r="V122" s="48"/>
      <c r="W122" s="48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</row>
    <row r="123" spans="1:39" ht="14.25" customHeight="1" x14ac:dyDescent="0.3">
      <c r="A123" s="47"/>
      <c r="B123" s="48"/>
      <c r="C123" s="67"/>
      <c r="D123" s="47"/>
      <c r="E123" s="47"/>
      <c r="F123" s="47"/>
      <c r="G123" s="47"/>
      <c r="H123" s="47"/>
      <c r="I123" s="49"/>
      <c r="J123" s="50"/>
      <c r="K123" s="50"/>
      <c r="L123" s="50"/>
      <c r="M123" s="47"/>
      <c r="N123" s="47"/>
      <c r="O123" s="47"/>
      <c r="P123" s="47"/>
      <c r="Q123" s="47"/>
      <c r="R123" s="47"/>
      <c r="S123" s="47"/>
      <c r="T123" s="47"/>
      <c r="U123" s="48"/>
      <c r="V123" s="48"/>
      <c r="W123" s="48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</row>
    <row r="124" spans="1:39" ht="14.25" customHeight="1" x14ac:dyDescent="0.3">
      <c r="A124" s="47"/>
      <c r="B124" s="48"/>
      <c r="C124" s="67"/>
      <c r="D124" s="47"/>
      <c r="E124" s="47"/>
      <c r="F124" s="47"/>
      <c r="G124" s="47"/>
      <c r="H124" s="47"/>
      <c r="I124" s="49"/>
      <c r="J124" s="50"/>
      <c r="K124" s="50"/>
      <c r="L124" s="50"/>
      <c r="M124" s="47"/>
      <c r="N124" s="47"/>
      <c r="O124" s="47"/>
      <c r="P124" s="47"/>
      <c r="Q124" s="47"/>
      <c r="R124" s="47"/>
      <c r="S124" s="47"/>
      <c r="T124" s="47"/>
      <c r="U124" s="48"/>
      <c r="V124" s="48"/>
      <c r="W124" s="48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</row>
    <row r="125" spans="1:39" ht="14.25" customHeight="1" x14ac:dyDescent="0.3">
      <c r="A125" s="47"/>
      <c r="B125" s="48"/>
      <c r="C125" s="67"/>
      <c r="D125" s="47"/>
      <c r="E125" s="47"/>
      <c r="F125" s="47"/>
      <c r="G125" s="47"/>
      <c r="H125" s="47"/>
      <c r="I125" s="49"/>
      <c r="J125" s="50"/>
      <c r="K125" s="50"/>
      <c r="L125" s="50"/>
      <c r="M125" s="47"/>
      <c r="N125" s="47"/>
      <c r="O125" s="47"/>
      <c r="P125" s="47"/>
      <c r="Q125" s="47"/>
      <c r="R125" s="47"/>
      <c r="S125" s="47"/>
      <c r="T125" s="47"/>
      <c r="U125" s="48"/>
      <c r="V125" s="48"/>
      <c r="W125" s="48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</row>
    <row r="126" spans="1:39" ht="14.25" customHeight="1" x14ac:dyDescent="0.3">
      <c r="A126" s="47"/>
      <c r="B126" s="48"/>
      <c r="C126" s="67"/>
      <c r="D126" s="47"/>
      <c r="E126" s="47"/>
      <c r="F126" s="47"/>
      <c r="G126" s="47"/>
      <c r="H126" s="47"/>
      <c r="I126" s="49"/>
      <c r="J126" s="50"/>
      <c r="K126" s="50"/>
      <c r="L126" s="50"/>
      <c r="M126" s="47"/>
      <c r="N126" s="47"/>
      <c r="O126" s="47"/>
      <c r="P126" s="47"/>
      <c r="Q126" s="47"/>
      <c r="R126" s="47"/>
      <c r="S126" s="47"/>
      <c r="T126" s="47"/>
      <c r="U126" s="48"/>
      <c r="V126" s="48"/>
      <c r="W126" s="48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</row>
    <row r="127" spans="1:39" ht="14.25" customHeight="1" x14ac:dyDescent="0.3">
      <c r="A127" s="47"/>
      <c r="B127" s="48"/>
      <c r="C127" s="67"/>
      <c r="D127" s="47"/>
      <c r="E127" s="47"/>
      <c r="F127" s="47"/>
      <c r="G127" s="47"/>
      <c r="H127" s="47"/>
      <c r="I127" s="49"/>
      <c r="J127" s="50"/>
      <c r="K127" s="50"/>
      <c r="L127" s="50"/>
      <c r="M127" s="47"/>
      <c r="N127" s="47"/>
      <c r="O127" s="47"/>
      <c r="P127" s="47"/>
      <c r="Q127" s="47"/>
      <c r="R127" s="47"/>
      <c r="S127" s="47"/>
      <c r="T127" s="47"/>
      <c r="U127" s="48"/>
      <c r="V127" s="48"/>
      <c r="W127" s="48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</row>
    <row r="128" spans="1:39" ht="14.25" customHeight="1" x14ac:dyDescent="0.3">
      <c r="A128" s="47"/>
      <c r="B128" s="48"/>
      <c r="C128" s="67"/>
      <c r="D128" s="47"/>
      <c r="E128" s="47"/>
      <c r="F128" s="47"/>
      <c r="G128" s="47"/>
      <c r="H128" s="47"/>
      <c r="I128" s="49"/>
      <c r="J128" s="50"/>
      <c r="K128" s="50"/>
      <c r="L128" s="50"/>
      <c r="M128" s="47"/>
      <c r="N128" s="47"/>
      <c r="O128" s="47"/>
      <c r="P128" s="47"/>
      <c r="Q128" s="47"/>
      <c r="R128" s="47"/>
      <c r="S128" s="47"/>
      <c r="T128" s="47"/>
      <c r="U128" s="48"/>
      <c r="V128" s="48"/>
      <c r="W128" s="48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</row>
    <row r="129" spans="1:39" ht="14.25" customHeight="1" x14ac:dyDescent="0.3">
      <c r="A129" s="47"/>
      <c r="B129" s="48"/>
      <c r="C129" s="67"/>
      <c r="D129" s="47"/>
      <c r="E129" s="47"/>
      <c r="F129" s="47"/>
      <c r="G129" s="47"/>
      <c r="H129" s="47"/>
      <c r="I129" s="49"/>
      <c r="J129" s="50"/>
      <c r="K129" s="50"/>
      <c r="L129" s="50"/>
      <c r="M129" s="47"/>
      <c r="N129" s="47"/>
      <c r="O129" s="47"/>
      <c r="P129" s="47"/>
      <c r="Q129" s="47"/>
      <c r="R129" s="47"/>
      <c r="S129" s="47"/>
      <c r="T129" s="47"/>
      <c r="U129" s="48"/>
      <c r="V129" s="48"/>
      <c r="W129" s="48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</row>
    <row r="130" spans="1:39" ht="14.25" customHeight="1" x14ac:dyDescent="0.3">
      <c r="A130" s="47"/>
      <c r="B130" s="48"/>
      <c r="C130" s="67"/>
      <c r="D130" s="47"/>
      <c r="E130" s="47"/>
      <c r="F130" s="47"/>
      <c r="G130" s="47"/>
      <c r="H130" s="47"/>
      <c r="I130" s="49"/>
      <c r="J130" s="50"/>
      <c r="K130" s="50"/>
      <c r="L130" s="50"/>
      <c r="M130" s="47"/>
      <c r="N130" s="47"/>
      <c r="O130" s="47"/>
      <c r="P130" s="47"/>
      <c r="Q130" s="47"/>
      <c r="R130" s="47"/>
      <c r="S130" s="47"/>
      <c r="T130" s="47"/>
      <c r="U130" s="48"/>
      <c r="V130" s="48"/>
      <c r="W130" s="48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</row>
    <row r="131" spans="1:39" ht="14.25" customHeight="1" x14ac:dyDescent="0.3">
      <c r="A131" s="47"/>
      <c r="B131" s="48"/>
      <c r="C131" s="67"/>
      <c r="D131" s="47"/>
      <c r="E131" s="47"/>
      <c r="F131" s="47"/>
      <c r="G131" s="47"/>
      <c r="H131" s="47"/>
      <c r="I131" s="49"/>
      <c r="J131" s="50"/>
      <c r="K131" s="50"/>
      <c r="L131" s="50"/>
      <c r="M131" s="47"/>
      <c r="N131" s="47"/>
      <c r="O131" s="47"/>
      <c r="P131" s="47"/>
      <c r="Q131" s="47"/>
      <c r="R131" s="47"/>
      <c r="S131" s="47"/>
      <c r="T131" s="47"/>
      <c r="U131" s="48"/>
      <c r="V131" s="48"/>
      <c r="W131" s="48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</row>
    <row r="132" spans="1:39" ht="14.25" customHeight="1" x14ac:dyDescent="0.3">
      <c r="A132" s="47"/>
      <c r="B132" s="48"/>
      <c r="C132" s="67"/>
      <c r="D132" s="47"/>
      <c r="E132" s="47"/>
      <c r="F132" s="47"/>
      <c r="G132" s="47"/>
      <c r="H132" s="47"/>
      <c r="I132" s="49"/>
      <c r="J132" s="50"/>
      <c r="K132" s="50"/>
      <c r="L132" s="50"/>
      <c r="M132" s="47"/>
      <c r="N132" s="47"/>
      <c r="O132" s="47"/>
      <c r="P132" s="47"/>
      <c r="Q132" s="47"/>
      <c r="R132" s="47"/>
      <c r="S132" s="47"/>
      <c r="T132" s="47"/>
      <c r="U132" s="48"/>
      <c r="V132" s="48"/>
      <c r="W132" s="48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</row>
    <row r="133" spans="1:39" ht="14.25" customHeight="1" x14ac:dyDescent="0.3">
      <c r="A133" s="47"/>
      <c r="B133" s="48"/>
      <c r="C133" s="67"/>
      <c r="D133" s="47"/>
      <c r="E133" s="47"/>
      <c r="F133" s="47"/>
      <c r="G133" s="47"/>
      <c r="H133" s="47"/>
      <c r="I133" s="49"/>
      <c r="J133" s="50"/>
      <c r="K133" s="50"/>
      <c r="L133" s="50"/>
      <c r="M133" s="47"/>
      <c r="N133" s="47"/>
      <c r="O133" s="47"/>
      <c r="P133" s="47"/>
      <c r="Q133" s="47"/>
      <c r="R133" s="47"/>
      <c r="S133" s="47"/>
      <c r="T133" s="47"/>
      <c r="U133" s="48"/>
      <c r="V133" s="48"/>
      <c r="W133" s="48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</row>
    <row r="134" spans="1:39" ht="14.25" customHeight="1" x14ac:dyDescent="0.3">
      <c r="A134" s="47"/>
      <c r="B134" s="48"/>
      <c r="C134" s="67"/>
      <c r="D134" s="47"/>
      <c r="E134" s="47"/>
      <c r="F134" s="47"/>
      <c r="G134" s="47"/>
      <c r="H134" s="47"/>
      <c r="I134" s="49"/>
      <c r="J134" s="50"/>
      <c r="K134" s="50"/>
      <c r="L134" s="50"/>
      <c r="M134" s="47"/>
      <c r="N134" s="47"/>
      <c r="O134" s="47"/>
      <c r="P134" s="47"/>
      <c r="Q134" s="47"/>
      <c r="R134" s="47"/>
      <c r="S134" s="47"/>
      <c r="T134" s="47"/>
      <c r="U134" s="48"/>
      <c r="V134" s="48"/>
      <c r="W134" s="48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</row>
    <row r="135" spans="1:39" ht="14.25" customHeight="1" x14ac:dyDescent="0.3">
      <c r="A135" s="47"/>
      <c r="B135" s="48"/>
      <c r="C135" s="67"/>
      <c r="D135" s="47"/>
      <c r="E135" s="47"/>
      <c r="F135" s="47"/>
      <c r="G135" s="47"/>
      <c r="H135" s="47"/>
      <c r="I135" s="49"/>
      <c r="J135" s="50"/>
      <c r="K135" s="50"/>
      <c r="L135" s="50"/>
      <c r="M135" s="47"/>
      <c r="N135" s="47"/>
      <c r="O135" s="47"/>
      <c r="P135" s="47"/>
      <c r="Q135" s="47"/>
      <c r="R135" s="47"/>
      <c r="S135" s="47"/>
      <c r="T135" s="47"/>
      <c r="U135" s="48"/>
      <c r="V135" s="48"/>
      <c r="W135" s="48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</row>
    <row r="136" spans="1:39" ht="14.25" customHeight="1" x14ac:dyDescent="0.3">
      <c r="A136" s="47"/>
      <c r="B136" s="48"/>
      <c r="C136" s="67"/>
      <c r="D136" s="47"/>
      <c r="E136" s="47"/>
      <c r="F136" s="47"/>
      <c r="G136" s="47"/>
      <c r="H136" s="47"/>
      <c r="I136" s="49"/>
      <c r="J136" s="50"/>
      <c r="K136" s="50"/>
      <c r="L136" s="50"/>
      <c r="M136" s="47"/>
      <c r="N136" s="47"/>
      <c r="O136" s="47"/>
      <c r="P136" s="47"/>
      <c r="Q136" s="47"/>
      <c r="R136" s="47"/>
      <c r="S136" s="47"/>
      <c r="T136" s="47"/>
      <c r="U136" s="48"/>
      <c r="V136" s="48"/>
      <c r="W136" s="48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</row>
    <row r="137" spans="1:39" ht="14.25" customHeight="1" x14ac:dyDescent="0.3">
      <c r="A137" s="47"/>
      <c r="B137" s="48"/>
      <c r="C137" s="67"/>
      <c r="D137" s="47"/>
      <c r="E137" s="47"/>
      <c r="F137" s="47"/>
      <c r="G137" s="47"/>
      <c r="H137" s="47"/>
      <c r="I137" s="49"/>
      <c r="J137" s="50"/>
      <c r="K137" s="50"/>
      <c r="L137" s="50"/>
      <c r="M137" s="47"/>
      <c r="N137" s="47"/>
      <c r="O137" s="47"/>
      <c r="P137" s="47"/>
      <c r="Q137" s="47"/>
      <c r="R137" s="47"/>
      <c r="S137" s="47"/>
      <c r="T137" s="47"/>
      <c r="U137" s="48"/>
      <c r="V137" s="48"/>
      <c r="W137" s="48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</row>
    <row r="138" spans="1:39" ht="14.25" customHeight="1" x14ac:dyDescent="0.3">
      <c r="A138" s="47"/>
      <c r="B138" s="48"/>
      <c r="C138" s="67"/>
      <c r="D138" s="47"/>
      <c r="E138" s="47"/>
      <c r="F138" s="47"/>
      <c r="G138" s="47"/>
      <c r="H138" s="47"/>
      <c r="I138" s="49"/>
      <c r="J138" s="50"/>
      <c r="K138" s="50"/>
      <c r="L138" s="50"/>
      <c r="M138" s="47"/>
      <c r="N138" s="47"/>
      <c r="O138" s="47"/>
      <c r="P138" s="47"/>
      <c r="Q138" s="47"/>
      <c r="R138" s="47"/>
      <c r="S138" s="47"/>
      <c r="T138" s="47"/>
      <c r="U138" s="48"/>
      <c r="V138" s="48"/>
      <c r="W138" s="48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</row>
    <row r="139" spans="1:39" ht="14.25" customHeight="1" x14ac:dyDescent="0.3">
      <c r="A139" s="47"/>
      <c r="B139" s="48"/>
      <c r="C139" s="67"/>
      <c r="D139" s="47"/>
      <c r="E139" s="47"/>
      <c r="F139" s="47"/>
      <c r="G139" s="47"/>
      <c r="H139" s="47"/>
      <c r="I139" s="49"/>
      <c r="J139" s="50"/>
      <c r="K139" s="50"/>
      <c r="L139" s="50"/>
      <c r="M139" s="47"/>
      <c r="N139" s="47"/>
      <c r="O139" s="47"/>
      <c r="P139" s="47"/>
      <c r="Q139" s="47"/>
      <c r="R139" s="47"/>
      <c r="S139" s="47"/>
      <c r="T139" s="47"/>
      <c r="U139" s="48"/>
      <c r="V139" s="48"/>
      <c r="W139" s="48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</row>
    <row r="140" spans="1:39" ht="14.25" customHeight="1" x14ac:dyDescent="0.3">
      <c r="A140" s="47"/>
      <c r="B140" s="48"/>
      <c r="C140" s="67"/>
      <c r="D140" s="47"/>
      <c r="E140" s="47"/>
      <c r="F140" s="47"/>
      <c r="G140" s="47"/>
      <c r="H140" s="47"/>
      <c r="I140" s="49"/>
      <c r="J140" s="50"/>
      <c r="K140" s="50"/>
      <c r="L140" s="50"/>
      <c r="M140" s="47"/>
      <c r="N140" s="47"/>
      <c r="O140" s="47"/>
      <c r="P140" s="47"/>
      <c r="Q140" s="47"/>
      <c r="R140" s="47"/>
      <c r="S140" s="47"/>
      <c r="T140" s="47"/>
      <c r="U140" s="48"/>
      <c r="V140" s="48"/>
      <c r="W140" s="48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</row>
    <row r="141" spans="1:39" ht="14.25" customHeight="1" x14ac:dyDescent="0.3">
      <c r="A141" s="47"/>
      <c r="B141" s="48"/>
      <c r="C141" s="67"/>
      <c r="D141" s="47"/>
      <c r="E141" s="47"/>
      <c r="F141" s="47"/>
      <c r="G141" s="47"/>
      <c r="H141" s="47"/>
      <c r="I141" s="49"/>
      <c r="J141" s="50"/>
      <c r="K141" s="50"/>
      <c r="L141" s="50"/>
      <c r="M141" s="47"/>
      <c r="N141" s="47"/>
      <c r="O141" s="47"/>
      <c r="P141" s="47"/>
      <c r="Q141" s="47"/>
      <c r="R141" s="47"/>
      <c r="S141" s="47"/>
      <c r="T141" s="47"/>
      <c r="U141" s="48"/>
      <c r="V141" s="48"/>
      <c r="W141" s="48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</row>
    <row r="142" spans="1:39" ht="14.25" customHeight="1" x14ac:dyDescent="0.3">
      <c r="A142" s="47"/>
      <c r="B142" s="48"/>
      <c r="C142" s="67"/>
      <c r="D142" s="47"/>
      <c r="E142" s="47"/>
      <c r="F142" s="47"/>
      <c r="G142" s="47"/>
      <c r="H142" s="47"/>
      <c r="I142" s="49"/>
      <c r="J142" s="50"/>
      <c r="K142" s="50"/>
      <c r="L142" s="50"/>
      <c r="M142" s="47"/>
      <c r="N142" s="47"/>
      <c r="O142" s="47"/>
      <c r="P142" s="47"/>
      <c r="Q142" s="47"/>
      <c r="R142" s="47"/>
      <c r="S142" s="47"/>
      <c r="T142" s="47"/>
      <c r="U142" s="48"/>
      <c r="V142" s="48"/>
      <c r="W142" s="48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</row>
    <row r="143" spans="1:39" ht="14.25" customHeight="1" x14ac:dyDescent="0.3">
      <c r="A143" s="47"/>
      <c r="B143" s="48"/>
      <c r="C143" s="67"/>
      <c r="D143" s="47"/>
      <c r="E143" s="47"/>
      <c r="F143" s="47"/>
      <c r="G143" s="47"/>
      <c r="H143" s="47"/>
      <c r="I143" s="49"/>
      <c r="J143" s="50"/>
      <c r="K143" s="50"/>
      <c r="L143" s="50"/>
      <c r="M143" s="47"/>
      <c r="N143" s="47"/>
      <c r="O143" s="47"/>
      <c r="P143" s="47"/>
      <c r="Q143" s="47"/>
      <c r="R143" s="47"/>
      <c r="S143" s="47"/>
      <c r="T143" s="47"/>
      <c r="U143" s="48"/>
      <c r="V143" s="48"/>
      <c r="W143" s="48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</row>
    <row r="144" spans="1:39" ht="14.25" customHeight="1" x14ac:dyDescent="0.3">
      <c r="A144" s="47"/>
      <c r="B144" s="48"/>
      <c r="C144" s="67"/>
      <c r="D144" s="47"/>
      <c r="E144" s="47"/>
      <c r="F144" s="47"/>
      <c r="G144" s="47"/>
      <c r="H144" s="47"/>
      <c r="I144" s="49"/>
      <c r="J144" s="50"/>
      <c r="K144" s="50"/>
      <c r="L144" s="50"/>
      <c r="M144" s="47"/>
      <c r="N144" s="47"/>
      <c r="O144" s="47"/>
      <c r="P144" s="47"/>
      <c r="Q144" s="47"/>
      <c r="R144" s="47"/>
      <c r="S144" s="47"/>
      <c r="T144" s="47"/>
      <c r="U144" s="48"/>
      <c r="V144" s="48"/>
      <c r="W144" s="48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</row>
    <row r="145" spans="1:39" ht="14.25" customHeight="1" x14ac:dyDescent="0.3">
      <c r="A145" s="47"/>
      <c r="B145" s="48"/>
      <c r="C145" s="67"/>
      <c r="D145" s="47"/>
      <c r="E145" s="47"/>
      <c r="F145" s="47"/>
      <c r="G145" s="47"/>
      <c r="H145" s="47"/>
      <c r="I145" s="49"/>
      <c r="J145" s="50"/>
      <c r="K145" s="50"/>
      <c r="L145" s="50"/>
      <c r="M145" s="47"/>
      <c r="N145" s="47"/>
      <c r="O145" s="47"/>
      <c r="P145" s="47"/>
      <c r="Q145" s="47"/>
      <c r="R145" s="47"/>
      <c r="S145" s="47"/>
      <c r="T145" s="47"/>
      <c r="U145" s="48"/>
      <c r="V145" s="48"/>
      <c r="W145" s="48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</row>
    <row r="146" spans="1:39" ht="14.25" customHeight="1" x14ac:dyDescent="0.3">
      <c r="A146" s="47"/>
      <c r="B146" s="48"/>
      <c r="C146" s="67"/>
      <c r="D146" s="47"/>
      <c r="E146" s="47"/>
      <c r="F146" s="47"/>
      <c r="G146" s="47"/>
      <c r="H146" s="47"/>
      <c r="I146" s="49"/>
      <c r="J146" s="50"/>
      <c r="K146" s="50"/>
      <c r="L146" s="50"/>
      <c r="M146" s="47"/>
      <c r="N146" s="47"/>
      <c r="O146" s="47"/>
      <c r="P146" s="47"/>
      <c r="Q146" s="47"/>
      <c r="R146" s="47"/>
      <c r="S146" s="47"/>
      <c r="T146" s="47"/>
      <c r="U146" s="48"/>
      <c r="V146" s="48"/>
      <c r="W146" s="48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</row>
    <row r="147" spans="1:39" ht="14.25" customHeight="1" x14ac:dyDescent="0.3">
      <c r="A147" s="47"/>
      <c r="B147" s="48"/>
      <c r="C147" s="67"/>
      <c r="D147" s="47"/>
      <c r="E147" s="47"/>
      <c r="F147" s="47"/>
      <c r="G147" s="47"/>
      <c r="H147" s="47"/>
      <c r="I147" s="49"/>
      <c r="J147" s="50"/>
      <c r="K147" s="50"/>
      <c r="L147" s="50"/>
      <c r="M147" s="47"/>
      <c r="N147" s="47"/>
      <c r="O147" s="47"/>
      <c r="P147" s="47"/>
      <c r="Q147" s="47"/>
      <c r="R147" s="47"/>
      <c r="S147" s="47"/>
      <c r="T147" s="47"/>
      <c r="U147" s="48"/>
      <c r="V147" s="48"/>
      <c r="W147" s="48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</row>
    <row r="148" spans="1:39" ht="14.25" customHeight="1" x14ac:dyDescent="0.3">
      <c r="A148" s="47"/>
      <c r="B148" s="48"/>
      <c r="C148" s="67"/>
      <c r="D148" s="47"/>
      <c r="E148" s="47"/>
      <c r="F148" s="47"/>
      <c r="G148" s="47"/>
      <c r="H148" s="47"/>
      <c r="I148" s="49"/>
      <c r="J148" s="50"/>
      <c r="K148" s="50"/>
      <c r="L148" s="50"/>
      <c r="M148" s="47"/>
      <c r="N148" s="47"/>
      <c r="O148" s="47"/>
      <c r="P148" s="47"/>
      <c r="Q148" s="47"/>
      <c r="R148" s="47"/>
      <c r="S148" s="47"/>
      <c r="T148" s="47"/>
      <c r="U148" s="48"/>
      <c r="V148" s="48"/>
      <c r="W148" s="48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</row>
    <row r="149" spans="1:39" ht="14.25" customHeight="1" x14ac:dyDescent="0.3">
      <c r="A149" s="47"/>
      <c r="B149" s="48"/>
      <c r="C149" s="67"/>
      <c r="D149" s="47"/>
      <c r="E149" s="47"/>
      <c r="F149" s="47"/>
      <c r="G149" s="47"/>
      <c r="H149" s="47"/>
      <c r="I149" s="49"/>
      <c r="J149" s="50"/>
      <c r="K149" s="50"/>
      <c r="L149" s="50"/>
      <c r="M149" s="47"/>
      <c r="N149" s="47"/>
      <c r="O149" s="47"/>
      <c r="P149" s="47"/>
      <c r="Q149" s="47"/>
      <c r="R149" s="47"/>
      <c r="S149" s="47"/>
      <c r="T149" s="47"/>
      <c r="U149" s="48"/>
      <c r="V149" s="48"/>
      <c r="W149" s="48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</row>
    <row r="150" spans="1:39" ht="14.25" customHeight="1" x14ac:dyDescent="0.3">
      <c r="A150" s="47"/>
      <c r="B150" s="48"/>
      <c r="C150" s="67"/>
      <c r="D150" s="47"/>
      <c r="E150" s="47"/>
      <c r="F150" s="47"/>
      <c r="G150" s="47"/>
      <c r="H150" s="47"/>
      <c r="I150" s="49"/>
      <c r="J150" s="50"/>
      <c r="K150" s="50"/>
      <c r="L150" s="50"/>
      <c r="M150" s="47"/>
      <c r="N150" s="47"/>
      <c r="O150" s="47"/>
      <c r="P150" s="47"/>
      <c r="Q150" s="47"/>
      <c r="R150" s="47"/>
      <c r="S150" s="47"/>
      <c r="T150" s="47"/>
      <c r="U150" s="48"/>
      <c r="V150" s="48"/>
      <c r="W150" s="48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</row>
    <row r="151" spans="1:39" ht="14.25" customHeight="1" x14ac:dyDescent="0.3">
      <c r="A151" s="47"/>
      <c r="B151" s="48"/>
      <c r="C151" s="67"/>
      <c r="D151" s="47"/>
      <c r="E151" s="47"/>
      <c r="F151" s="47"/>
      <c r="G151" s="47"/>
      <c r="H151" s="47"/>
      <c r="I151" s="49"/>
      <c r="J151" s="50"/>
      <c r="K151" s="50"/>
      <c r="L151" s="50"/>
      <c r="M151" s="47"/>
      <c r="N151" s="47"/>
      <c r="O151" s="47"/>
      <c r="P151" s="47"/>
      <c r="Q151" s="47"/>
      <c r="R151" s="47"/>
      <c r="S151" s="47"/>
      <c r="T151" s="47"/>
      <c r="U151" s="48"/>
      <c r="V151" s="48"/>
      <c r="W151" s="48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</row>
    <row r="152" spans="1:39" ht="14.25" customHeight="1" x14ac:dyDescent="0.3">
      <c r="A152" s="47"/>
      <c r="B152" s="48"/>
      <c r="C152" s="67"/>
      <c r="D152" s="47"/>
      <c r="E152" s="47"/>
      <c r="F152" s="47"/>
      <c r="G152" s="47"/>
      <c r="H152" s="47"/>
      <c r="I152" s="49"/>
      <c r="J152" s="50"/>
      <c r="K152" s="50"/>
      <c r="L152" s="50"/>
      <c r="M152" s="47"/>
      <c r="N152" s="47"/>
      <c r="O152" s="47"/>
      <c r="P152" s="47"/>
      <c r="Q152" s="47"/>
      <c r="R152" s="47"/>
      <c r="S152" s="47"/>
      <c r="T152" s="47"/>
      <c r="U152" s="48"/>
      <c r="V152" s="48"/>
      <c r="W152" s="48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</row>
    <row r="153" spans="1:39" ht="14.25" customHeight="1" x14ac:dyDescent="0.3">
      <c r="A153" s="47"/>
      <c r="B153" s="48"/>
      <c r="C153" s="67"/>
      <c r="D153" s="47"/>
      <c r="E153" s="47"/>
      <c r="F153" s="47"/>
      <c r="G153" s="47"/>
      <c r="H153" s="47"/>
      <c r="I153" s="49"/>
      <c r="J153" s="50"/>
      <c r="K153" s="50"/>
      <c r="L153" s="50"/>
      <c r="M153" s="47"/>
      <c r="N153" s="47"/>
      <c r="O153" s="47"/>
      <c r="P153" s="47"/>
      <c r="Q153" s="47"/>
      <c r="R153" s="47"/>
      <c r="S153" s="47"/>
      <c r="T153" s="47"/>
      <c r="U153" s="48"/>
      <c r="V153" s="48"/>
      <c r="W153" s="48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</row>
    <row r="154" spans="1:39" ht="14.25" customHeight="1" x14ac:dyDescent="0.3">
      <c r="A154" s="47"/>
      <c r="B154" s="48"/>
      <c r="C154" s="67"/>
      <c r="D154" s="47"/>
      <c r="E154" s="47"/>
      <c r="F154" s="47"/>
      <c r="G154" s="47"/>
      <c r="H154" s="47"/>
      <c r="I154" s="49"/>
      <c r="J154" s="50"/>
      <c r="K154" s="50"/>
      <c r="L154" s="50"/>
      <c r="M154" s="47"/>
      <c r="N154" s="47"/>
      <c r="O154" s="47"/>
      <c r="P154" s="47"/>
      <c r="Q154" s="47"/>
      <c r="R154" s="47"/>
      <c r="S154" s="47"/>
      <c r="T154" s="47"/>
      <c r="U154" s="48"/>
      <c r="V154" s="48"/>
      <c r="W154" s="48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</row>
    <row r="155" spans="1:39" ht="14.25" customHeight="1" x14ac:dyDescent="0.3">
      <c r="A155" s="47"/>
      <c r="B155" s="48"/>
      <c r="C155" s="67"/>
      <c r="D155" s="47"/>
      <c r="E155" s="47"/>
      <c r="F155" s="47"/>
      <c r="G155" s="47"/>
      <c r="H155" s="47"/>
      <c r="I155" s="49"/>
      <c r="J155" s="50"/>
      <c r="K155" s="50"/>
      <c r="L155" s="50"/>
      <c r="M155" s="47"/>
      <c r="N155" s="47"/>
      <c r="O155" s="47"/>
      <c r="P155" s="47"/>
      <c r="Q155" s="47"/>
      <c r="R155" s="47"/>
      <c r="S155" s="47"/>
      <c r="T155" s="47"/>
      <c r="U155" s="48"/>
      <c r="V155" s="48"/>
      <c r="W155" s="48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</row>
    <row r="156" spans="1:39" ht="14.25" customHeight="1" x14ac:dyDescent="0.3">
      <c r="A156" s="47"/>
      <c r="B156" s="48"/>
      <c r="C156" s="67"/>
      <c r="D156" s="47"/>
      <c r="E156" s="47"/>
      <c r="F156" s="47"/>
      <c r="G156" s="47"/>
      <c r="H156" s="47"/>
      <c r="I156" s="49"/>
      <c r="J156" s="50"/>
      <c r="K156" s="50"/>
      <c r="L156" s="50"/>
      <c r="M156" s="47"/>
      <c r="N156" s="47"/>
      <c r="O156" s="47"/>
      <c r="P156" s="47"/>
      <c r="Q156" s="47"/>
      <c r="R156" s="47"/>
      <c r="S156" s="47"/>
      <c r="T156" s="47"/>
      <c r="U156" s="48"/>
      <c r="V156" s="48"/>
      <c r="W156" s="48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</row>
    <row r="157" spans="1:39" ht="14.25" customHeight="1" x14ac:dyDescent="0.3">
      <c r="A157" s="47"/>
      <c r="B157" s="48"/>
      <c r="C157" s="67"/>
      <c r="D157" s="47"/>
      <c r="E157" s="47"/>
      <c r="F157" s="47"/>
      <c r="G157" s="47"/>
      <c r="H157" s="47"/>
      <c r="I157" s="49"/>
      <c r="J157" s="50"/>
      <c r="K157" s="50"/>
      <c r="L157" s="50"/>
      <c r="M157" s="47"/>
      <c r="N157" s="47"/>
      <c r="O157" s="47"/>
      <c r="P157" s="47"/>
      <c r="Q157" s="47"/>
      <c r="R157" s="47"/>
      <c r="S157" s="47"/>
      <c r="T157" s="47"/>
      <c r="U157" s="48"/>
      <c r="V157" s="48"/>
      <c r="W157" s="48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</row>
    <row r="158" spans="1:39" ht="14.25" customHeight="1" x14ac:dyDescent="0.3">
      <c r="A158" s="47"/>
      <c r="B158" s="48"/>
      <c r="C158" s="67"/>
      <c r="D158" s="47"/>
      <c r="E158" s="47"/>
      <c r="F158" s="47"/>
      <c r="G158" s="47"/>
      <c r="H158" s="47"/>
      <c r="I158" s="49"/>
      <c r="J158" s="50"/>
      <c r="K158" s="50"/>
      <c r="L158" s="50"/>
      <c r="M158" s="47"/>
      <c r="N158" s="47"/>
      <c r="O158" s="47"/>
      <c r="P158" s="47"/>
      <c r="Q158" s="47"/>
      <c r="R158" s="47"/>
      <c r="S158" s="47"/>
      <c r="T158" s="47"/>
      <c r="U158" s="48"/>
      <c r="V158" s="48"/>
      <c r="W158" s="48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</row>
    <row r="159" spans="1:39" ht="14.25" customHeight="1" x14ac:dyDescent="0.3">
      <c r="A159" s="47"/>
      <c r="B159" s="48"/>
      <c r="C159" s="67"/>
      <c r="D159" s="47"/>
      <c r="E159" s="47"/>
      <c r="F159" s="47"/>
      <c r="G159" s="47"/>
      <c r="H159" s="47"/>
      <c r="I159" s="49"/>
      <c r="J159" s="50"/>
      <c r="K159" s="50"/>
      <c r="L159" s="50"/>
      <c r="M159" s="47"/>
      <c r="N159" s="47"/>
      <c r="O159" s="47"/>
      <c r="P159" s="47"/>
      <c r="Q159" s="47"/>
      <c r="R159" s="47"/>
      <c r="S159" s="47"/>
      <c r="T159" s="47"/>
      <c r="U159" s="48"/>
      <c r="V159" s="48"/>
      <c r="W159" s="48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</row>
    <row r="160" spans="1:39" ht="14.25" customHeight="1" x14ac:dyDescent="0.3">
      <c r="A160" s="47"/>
      <c r="B160" s="48"/>
      <c r="C160" s="67"/>
      <c r="D160" s="47"/>
      <c r="E160" s="47"/>
      <c r="F160" s="47"/>
      <c r="G160" s="47"/>
      <c r="H160" s="47"/>
      <c r="I160" s="49"/>
      <c r="J160" s="50"/>
      <c r="K160" s="50"/>
      <c r="L160" s="50"/>
      <c r="M160" s="47"/>
      <c r="N160" s="47"/>
      <c r="O160" s="47"/>
      <c r="P160" s="47"/>
      <c r="Q160" s="47"/>
      <c r="R160" s="47"/>
      <c r="S160" s="47"/>
      <c r="T160" s="47"/>
      <c r="U160" s="48"/>
      <c r="V160" s="48"/>
      <c r="W160" s="48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</row>
    <row r="161" spans="1:39" ht="14.25" customHeight="1" x14ac:dyDescent="0.3">
      <c r="A161" s="47"/>
      <c r="B161" s="48"/>
      <c r="C161" s="67"/>
      <c r="D161" s="47"/>
      <c r="E161" s="47"/>
      <c r="F161" s="47"/>
      <c r="G161" s="47"/>
      <c r="H161" s="47"/>
      <c r="I161" s="49"/>
      <c r="J161" s="50"/>
      <c r="K161" s="50"/>
      <c r="L161" s="50"/>
      <c r="M161" s="47"/>
      <c r="N161" s="47"/>
      <c r="O161" s="47"/>
      <c r="P161" s="47"/>
      <c r="Q161" s="47"/>
      <c r="R161" s="47"/>
      <c r="S161" s="47"/>
      <c r="T161" s="47"/>
      <c r="U161" s="48"/>
      <c r="V161" s="48"/>
      <c r="W161" s="48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</row>
    <row r="162" spans="1:39" ht="14.25" customHeight="1" x14ac:dyDescent="0.3">
      <c r="A162" s="47"/>
      <c r="B162" s="48"/>
      <c r="C162" s="67"/>
      <c r="D162" s="47"/>
      <c r="E162" s="47"/>
      <c r="F162" s="47"/>
      <c r="G162" s="47"/>
      <c r="H162" s="47"/>
      <c r="I162" s="49"/>
      <c r="J162" s="50"/>
      <c r="K162" s="50"/>
      <c r="L162" s="50"/>
      <c r="M162" s="47"/>
      <c r="N162" s="47"/>
      <c r="O162" s="47"/>
      <c r="P162" s="47"/>
      <c r="Q162" s="47"/>
      <c r="R162" s="47"/>
      <c r="S162" s="47"/>
      <c r="T162" s="47"/>
      <c r="U162" s="48"/>
      <c r="V162" s="48"/>
      <c r="W162" s="48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</row>
    <row r="163" spans="1:39" ht="14.25" customHeight="1" x14ac:dyDescent="0.3">
      <c r="A163" s="47"/>
      <c r="B163" s="48"/>
      <c r="C163" s="67"/>
      <c r="D163" s="47"/>
      <c r="E163" s="47"/>
      <c r="F163" s="47"/>
      <c r="G163" s="47"/>
      <c r="H163" s="47"/>
      <c r="I163" s="49"/>
      <c r="J163" s="50"/>
      <c r="K163" s="50"/>
      <c r="L163" s="50"/>
      <c r="M163" s="47"/>
      <c r="N163" s="47"/>
      <c r="O163" s="47"/>
      <c r="P163" s="47"/>
      <c r="Q163" s="47"/>
      <c r="R163" s="47"/>
      <c r="S163" s="47"/>
      <c r="T163" s="47"/>
      <c r="U163" s="48"/>
      <c r="V163" s="48"/>
      <c r="W163" s="48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</row>
    <row r="164" spans="1:39" ht="14.25" customHeight="1" x14ac:dyDescent="0.3">
      <c r="A164" s="47"/>
      <c r="B164" s="48"/>
      <c r="C164" s="67"/>
      <c r="D164" s="47"/>
      <c r="E164" s="47"/>
      <c r="F164" s="47"/>
      <c r="G164" s="47"/>
      <c r="H164" s="47"/>
      <c r="I164" s="49"/>
      <c r="J164" s="50"/>
      <c r="K164" s="50"/>
      <c r="L164" s="50"/>
      <c r="M164" s="47"/>
      <c r="N164" s="47"/>
      <c r="O164" s="47"/>
      <c r="P164" s="47"/>
      <c r="Q164" s="47"/>
      <c r="R164" s="47"/>
      <c r="S164" s="47"/>
      <c r="T164" s="47"/>
      <c r="U164" s="48"/>
      <c r="V164" s="48"/>
      <c r="W164" s="48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</row>
    <row r="165" spans="1:39" ht="14.25" customHeight="1" x14ac:dyDescent="0.3">
      <c r="A165" s="47"/>
      <c r="B165" s="48"/>
      <c r="C165" s="67"/>
      <c r="D165" s="47"/>
      <c r="E165" s="47"/>
      <c r="F165" s="47"/>
      <c r="G165" s="47"/>
      <c r="H165" s="47"/>
      <c r="I165" s="49"/>
      <c r="J165" s="50"/>
      <c r="K165" s="50"/>
      <c r="L165" s="50"/>
      <c r="M165" s="47"/>
      <c r="N165" s="47"/>
      <c r="O165" s="47"/>
      <c r="P165" s="47"/>
      <c r="Q165" s="47"/>
      <c r="R165" s="47"/>
      <c r="S165" s="47"/>
      <c r="T165" s="47"/>
      <c r="U165" s="48"/>
      <c r="V165" s="48"/>
      <c r="W165" s="48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</row>
    <row r="166" spans="1:39" ht="14.25" customHeight="1" x14ac:dyDescent="0.3">
      <c r="A166" s="47"/>
      <c r="B166" s="48"/>
      <c r="C166" s="67"/>
      <c r="D166" s="47"/>
      <c r="E166" s="47"/>
      <c r="F166" s="47"/>
      <c r="G166" s="47"/>
      <c r="H166" s="47"/>
      <c r="I166" s="49"/>
      <c r="J166" s="50"/>
      <c r="K166" s="50"/>
      <c r="L166" s="50"/>
      <c r="M166" s="47"/>
      <c r="N166" s="47"/>
      <c r="O166" s="47"/>
      <c r="P166" s="47"/>
      <c r="Q166" s="47"/>
      <c r="R166" s="47"/>
      <c r="S166" s="47"/>
      <c r="T166" s="47"/>
      <c r="U166" s="48"/>
      <c r="V166" s="48"/>
      <c r="W166" s="48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</row>
    <row r="167" spans="1:39" ht="14.25" customHeight="1" x14ac:dyDescent="0.3">
      <c r="A167" s="47"/>
      <c r="B167" s="48"/>
      <c r="C167" s="67"/>
      <c r="D167" s="47"/>
      <c r="E167" s="47"/>
      <c r="F167" s="47"/>
      <c r="G167" s="47"/>
      <c r="H167" s="47"/>
      <c r="I167" s="49"/>
      <c r="J167" s="50"/>
      <c r="K167" s="50"/>
      <c r="L167" s="50"/>
      <c r="M167" s="47"/>
      <c r="N167" s="47"/>
      <c r="O167" s="47"/>
      <c r="P167" s="47"/>
      <c r="Q167" s="47"/>
      <c r="R167" s="47"/>
      <c r="S167" s="47"/>
      <c r="T167" s="47"/>
      <c r="U167" s="48"/>
      <c r="V167" s="48"/>
      <c r="W167" s="48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</row>
    <row r="168" spans="1:39" ht="14.25" customHeight="1" x14ac:dyDescent="0.3">
      <c r="A168" s="47"/>
      <c r="B168" s="48"/>
      <c r="C168" s="67"/>
      <c r="D168" s="47"/>
      <c r="E168" s="47"/>
      <c r="F168" s="47"/>
      <c r="G168" s="47"/>
      <c r="H168" s="47"/>
      <c r="I168" s="49"/>
      <c r="J168" s="50"/>
      <c r="K168" s="50"/>
      <c r="L168" s="50"/>
      <c r="M168" s="47"/>
      <c r="N168" s="47"/>
      <c r="O168" s="47"/>
      <c r="P168" s="47"/>
      <c r="Q168" s="47"/>
      <c r="R168" s="47"/>
      <c r="S168" s="47"/>
      <c r="T168" s="47"/>
      <c r="U168" s="48"/>
      <c r="V168" s="48"/>
      <c r="W168" s="48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</row>
    <row r="169" spans="1:39" ht="14.25" customHeight="1" x14ac:dyDescent="0.3">
      <c r="A169" s="47"/>
      <c r="B169" s="48"/>
      <c r="C169" s="67"/>
      <c r="D169" s="47"/>
      <c r="E169" s="47"/>
      <c r="F169" s="47"/>
      <c r="G169" s="47"/>
      <c r="H169" s="47"/>
      <c r="I169" s="49"/>
      <c r="J169" s="50"/>
      <c r="K169" s="50"/>
      <c r="L169" s="50"/>
      <c r="M169" s="47"/>
      <c r="N169" s="47"/>
      <c r="O169" s="47"/>
      <c r="P169" s="47"/>
      <c r="Q169" s="47"/>
      <c r="R169" s="47"/>
      <c r="S169" s="47"/>
      <c r="T169" s="47"/>
      <c r="U169" s="48"/>
      <c r="V169" s="48"/>
      <c r="W169" s="48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</row>
    <row r="170" spans="1:39" ht="14.25" customHeight="1" x14ac:dyDescent="0.3">
      <c r="A170" s="47"/>
      <c r="B170" s="48"/>
      <c r="C170" s="67"/>
      <c r="D170" s="47"/>
      <c r="E170" s="47"/>
      <c r="F170" s="47"/>
      <c r="G170" s="47"/>
      <c r="H170" s="47"/>
      <c r="I170" s="49"/>
      <c r="J170" s="50"/>
      <c r="K170" s="50"/>
      <c r="L170" s="50"/>
      <c r="M170" s="47"/>
      <c r="N170" s="47"/>
      <c r="O170" s="47"/>
      <c r="P170" s="47"/>
      <c r="Q170" s="47"/>
      <c r="R170" s="47"/>
      <c r="S170" s="47"/>
      <c r="T170" s="47"/>
      <c r="U170" s="48"/>
      <c r="V170" s="48"/>
      <c r="W170" s="48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</row>
    <row r="171" spans="1:39" ht="14.25" customHeight="1" x14ac:dyDescent="0.3">
      <c r="A171" s="47"/>
      <c r="B171" s="48"/>
      <c r="C171" s="67"/>
      <c r="D171" s="47"/>
      <c r="E171" s="47"/>
      <c r="F171" s="47"/>
      <c r="G171" s="47"/>
      <c r="H171" s="47"/>
      <c r="I171" s="49"/>
      <c r="J171" s="50"/>
      <c r="K171" s="50"/>
      <c r="L171" s="50"/>
      <c r="M171" s="47"/>
      <c r="N171" s="47"/>
      <c r="O171" s="47"/>
      <c r="P171" s="47"/>
      <c r="Q171" s="47"/>
      <c r="R171" s="47"/>
      <c r="S171" s="47"/>
      <c r="T171" s="47"/>
      <c r="U171" s="48"/>
      <c r="V171" s="48"/>
      <c r="W171" s="48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</row>
    <row r="172" spans="1:39" ht="14.25" customHeight="1" x14ac:dyDescent="0.3">
      <c r="A172" s="47"/>
      <c r="B172" s="48"/>
      <c r="C172" s="67"/>
      <c r="D172" s="47"/>
      <c r="E172" s="47"/>
      <c r="F172" s="47"/>
      <c r="G172" s="47"/>
      <c r="H172" s="47"/>
      <c r="I172" s="49"/>
      <c r="J172" s="50"/>
      <c r="K172" s="50"/>
      <c r="L172" s="50"/>
      <c r="M172" s="47"/>
      <c r="N172" s="47"/>
      <c r="O172" s="47"/>
      <c r="P172" s="47"/>
      <c r="Q172" s="47"/>
      <c r="R172" s="47"/>
      <c r="S172" s="47"/>
      <c r="T172" s="47"/>
      <c r="U172" s="48"/>
      <c r="V172" s="48"/>
      <c r="W172" s="48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</row>
    <row r="173" spans="1:39" ht="14.25" customHeight="1" x14ac:dyDescent="0.3">
      <c r="A173" s="47"/>
      <c r="B173" s="48"/>
      <c r="C173" s="67"/>
      <c r="D173" s="47"/>
      <c r="E173" s="47"/>
      <c r="F173" s="47"/>
      <c r="G173" s="47"/>
      <c r="H173" s="47"/>
      <c r="I173" s="49"/>
      <c r="J173" s="50"/>
      <c r="K173" s="50"/>
      <c r="L173" s="50"/>
      <c r="M173" s="47"/>
      <c r="N173" s="47"/>
      <c r="O173" s="47"/>
      <c r="P173" s="47"/>
      <c r="Q173" s="47"/>
      <c r="R173" s="47"/>
      <c r="S173" s="47"/>
      <c r="T173" s="47"/>
      <c r="U173" s="48"/>
      <c r="V173" s="48"/>
      <c r="W173" s="48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</row>
    <row r="174" spans="1:39" ht="14.25" customHeight="1" x14ac:dyDescent="0.3">
      <c r="A174" s="47"/>
      <c r="B174" s="48"/>
      <c r="C174" s="67"/>
      <c r="D174" s="47"/>
      <c r="E174" s="47"/>
      <c r="F174" s="47"/>
      <c r="G174" s="47"/>
      <c r="H174" s="47"/>
      <c r="I174" s="49"/>
      <c r="J174" s="50"/>
      <c r="K174" s="50"/>
      <c r="L174" s="50"/>
      <c r="M174" s="47"/>
      <c r="N174" s="47"/>
      <c r="O174" s="47"/>
      <c r="P174" s="47"/>
      <c r="Q174" s="47"/>
      <c r="R174" s="47"/>
      <c r="S174" s="47"/>
      <c r="T174" s="47"/>
      <c r="U174" s="48"/>
      <c r="V174" s="48"/>
      <c r="W174" s="48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</row>
    <row r="175" spans="1:39" ht="14.25" customHeight="1" x14ac:dyDescent="0.3">
      <c r="A175" s="47"/>
      <c r="B175" s="48"/>
      <c r="C175" s="67"/>
      <c r="D175" s="47"/>
      <c r="E175" s="47"/>
      <c r="F175" s="47"/>
      <c r="G175" s="47"/>
      <c r="H175" s="47"/>
      <c r="I175" s="49"/>
      <c r="J175" s="50"/>
      <c r="K175" s="50"/>
      <c r="L175" s="50"/>
      <c r="M175" s="47"/>
      <c r="N175" s="47"/>
      <c r="O175" s="47"/>
      <c r="P175" s="47"/>
      <c r="Q175" s="47"/>
      <c r="R175" s="47"/>
      <c r="S175" s="47"/>
      <c r="T175" s="47"/>
      <c r="U175" s="48"/>
      <c r="V175" s="48"/>
      <c r="W175" s="48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</row>
    <row r="176" spans="1:39" ht="14.25" customHeight="1" x14ac:dyDescent="0.3">
      <c r="A176" s="47"/>
      <c r="B176" s="48"/>
      <c r="C176" s="67"/>
      <c r="D176" s="47"/>
      <c r="E176" s="47"/>
      <c r="F176" s="47"/>
      <c r="G176" s="47"/>
      <c r="H176" s="47"/>
      <c r="I176" s="49"/>
      <c r="J176" s="50"/>
      <c r="K176" s="50"/>
      <c r="L176" s="50"/>
      <c r="M176" s="47"/>
      <c r="N176" s="47"/>
      <c r="O176" s="47"/>
      <c r="P176" s="47"/>
      <c r="Q176" s="47"/>
      <c r="R176" s="47"/>
      <c r="S176" s="47"/>
      <c r="T176" s="47"/>
      <c r="U176" s="48"/>
      <c r="V176" s="48"/>
      <c r="W176" s="48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</row>
    <row r="177" spans="1:39" ht="14.25" customHeight="1" x14ac:dyDescent="0.3">
      <c r="A177" s="47"/>
      <c r="B177" s="48"/>
      <c r="C177" s="67"/>
      <c r="D177" s="47"/>
      <c r="E177" s="47"/>
      <c r="F177" s="47"/>
      <c r="G177" s="47"/>
      <c r="H177" s="47"/>
      <c r="I177" s="49"/>
      <c r="J177" s="50"/>
      <c r="K177" s="50"/>
      <c r="L177" s="50"/>
      <c r="M177" s="47"/>
      <c r="N177" s="47"/>
      <c r="O177" s="47"/>
      <c r="P177" s="47"/>
      <c r="Q177" s="47"/>
      <c r="R177" s="47"/>
      <c r="S177" s="47"/>
      <c r="T177" s="47"/>
      <c r="U177" s="48"/>
      <c r="V177" s="48"/>
      <c r="W177" s="48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</row>
    <row r="178" spans="1:39" ht="14.25" customHeight="1" x14ac:dyDescent="0.3">
      <c r="A178" s="47"/>
      <c r="B178" s="48"/>
      <c r="C178" s="67"/>
      <c r="D178" s="47"/>
      <c r="E178" s="47"/>
      <c r="F178" s="47"/>
      <c r="G178" s="47"/>
      <c r="H178" s="47"/>
      <c r="I178" s="49"/>
      <c r="J178" s="50"/>
      <c r="K178" s="50"/>
      <c r="L178" s="50"/>
      <c r="M178" s="47"/>
      <c r="N178" s="47"/>
      <c r="O178" s="47"/>
      <c r="P178" s="47"/>
      <c r="Q178" s="47"/>
      <c r="R178" s="47"/>
      <c r="S178" s="47"/>
      <c r="T178" s="47"/>
      <c r="U178" s="48"/>
      <c r="V178" s="48"/>
      <c r="W178" s="48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</row>
    <row r="179" spans="1:39" ht="14.25" customHeight="1" x14ac:dyDescent="0.3">
      <c r="A179" s="47"/>
      <c r="B179" s="48"/>
      <c r="C179" s="67"/>
      <c r="D179" s="47"/>
      <c r="E179" s="47"/>
      <c r="F179" s="47"/>
      <c r="G179" s="47"/>
      <c r="H179" s="47"/>
      <c r="I179" s="49"/>
      <c r="J179" s="50"/>
      <c r="K179" s="50"/>
      <c r="L179" s="50"/>
      <c r="M179" s="47"/>
      <c r="N179" s="47"/>
      <c r="O179" s="47"/>
      <c r="P179" s="47"/>
      <c r="Q179" s="47"/>
      <c r="R179" s="47"/>
      <c r="S179" s="47"/>
      <c r="T179" s="47"/>
      <c r="U179" s="48"/>
      <c r="V179" s="48"/>
      <c r="W179" s="48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</row>
    <row r="180" spans="1:39" ht="14.25" customHeight="1" x14ac:dyDescent="0.3">
      <c r="A180" s="47"/>
      <c r="B180" s="48"/>
      <c r="C180" s="67"/>
      <c r="D180" s="47"/>
      <c r="E180" s="47"/>
      <c r="F180" s="47"/>
      <c r="G180" s="47"/>
      <c r="H180" s="47"/>
      <c r="I180" s="49"/>
      <c r="J180" s="50"/>
      <c r="K180" s="50"/>
      <c r="L180" s="50"/>
      <c r="M180" s="47"/>
      <c r="N180" s="47"/>
      <c r="O180" s="47"/>
      <c r="P180" s="47"/>
      <c r="Q180" s="47"/>
      <c r="R180" s="47"/>
      <c r="S180" s="47"/>
      <c r="T180" s="47"/>
      <c r="U180" s="48"/>
      <c r="V180" s="48"/>
      <c r="W180" s="48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</row>
    <row r="181" spans="1:39" ht="14.25" customHeight="1" x14ac:dyDescent="0.3">
      <c r="A181" s="47"/>
      <c r="B181" s="48"/>
      <c r="C181" s="67"/>
      <c r="D181" s="47"/>
      <c r="E181" s="47"/>
      <c r="F181" s="47"/>
      <c r="G181" s="47"/>
      <c r="H181" s="47"/>
      <c r="I181" s="49"/>
      <c r="J181" s="50"/>
      <c r="K181" s="50"/>
      <c r="L181" s="50"/>
      <c r="M181" s="47"/>
      <c r="N181" s="47"/>
      <c r="O181" s="47"/>
      <c r="P181" s="47"/>
      <c r="Q181" s="47"/>
      <c r="R181" s="47"/>
      <c r="S181" s="47"/>
      <c r="T181" s="47"/>
      <c r="U181" s="48"/>
      <c r="V181" s="48"/>
      <c r="W181" s="48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</row>
    <row r="182" spans="1:39" ht="14.25" customHeight="1" x14ac:dyDescent="0.3">
      <c r="A182" s="47"/>
      <c r="B182" s="48"/>
      <c r="C182" s="67"/>
      <c r="D182" s="47"/>
      <c r="E182" s="47"/>
      <c r="F182" s="47"/>
      <c r="G182" s="47"/>
      <c r="H182" s="47"/>
      <c r="I182" s="49"/>
      <c r="J182" s="50"/>
      <c r="K182" s="50"/>
      <c r="L182" s="50"/>
      <c r="M182" s="47"/>
      <c r="N182" s="47"/>
      <c r="O182" s="47"/>
      <c r="P182" s="47"/>
      <c r="Q182" s="47"/>
      <c r="R182" s="47"/>
      <c r="S182" s="47"/>
      <c r="T182" s="47"/>
      <c r="U182" s="48"/>
      <c r="V182" s="48"/>
      <c r="W182" s="48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</row>
    <row r="183" spans="1:39" ht="14.25" customHeight="1" x14ac:dyDescent="0.3">
      <c r="A183" s="47"/>
      <c r="B183" s="48"/>
      <c r="C183" s="67"/>
      <c r="D183" s="47"/>
      <c r="E183" s="47"/>
      <c r="F183" s="47"/>
      <c r="G183" s="47"/>
      <c r="H183" s="47"/>
      <c r="I183" s="49"/>
      <c r="J183" s="50"/>
      <c r="K183" s="50"/>
      <c r="L183" s="50"/>
      <c r="M183" s="47"/>
      <c r="N183" s="47"/>
      <c r="O183" s="47"/>
      <c r="P183" s="47"/>
      <c r="Q183" s="47"/>
      <c r="R183" s="47"/>
      <c r="S183" s="47"/>
      <c r="T183" s="47"/>
      <c r="U183" s="48"/>
      <c r="V183" s="48"/>
      <c r="W183" s="48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</row>
    <row r="184" spans="1:39" ht="14.25" customHeight="1" x14ac:dyDescent="0.3">
      <c r="A184" s="47"/>
      <c r="B184" s="48"/>
      <c r="C184" s="67"/>
      <c r="D184" s="47"/>
      <c r="E184" s="47"/>
      <c r="F184" s="47"/>
      <c r="G184" s="47"/>
      <c r="H184" s="47"/>
      <c r="I184" s="49"/>
      <c r="J184" s="50"/>
      <c r="K184" s="50"/>
      <c r="L184" s="50"/>
      <c r="M184" s="47"/>
      <c r="N184" s="47"/>
      <c r="O184" s="47"/>
      <c r="P184" s="47"/>
      <c r="Q184" s="47"/>
      <c r="R184" s="47"/>
      <c r="S184" s="47"/>
      <c r="T184" s="47"/>
      <c r="U184" s="48"/>
      <c r="V184" s="48"/>
      <c r="W184" s="48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</row>
    <row r="185" spans="1:39" ht="14.25" customHeight="1" x14ac:dyDescent="0.3">
      <c r="A185" s="47"/>
      <c r="B185" s="48"/>
      <c r="C185" s="67"/>
      <c r="D185" s="47"/>
      <c r="E185" s="47"/>
      <c r="F185" s="47"/>
      <c r="G185" s="47"/>
      <c r="H185" s="47"/>
      <c r="I185" s="49"/>
      <c r="J185" s="50"/>
      <c r="K185" s="50"/>
      <c r="L185" s="50"/>
      <c r="M185" s="47"/>
      <c r="N185" s="47"/>
      <c r="O185" s="47"/>
      <c r="P185" s="47"/>
      <c r="Q185" s="47"/>
      <c r="R185" s="47"/>
      <c r="S185" s="47"/>
      <c r="T185" s="47"/>
      <c r="U185" s="48"/>
      <c r="V185" s="48"/>
      <c r="W185" s="48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</row>
    <row r="186" spans="1:39" ht="14.25" customHeight="1" x14ac:dyDescent="0.3">
      <c r="A186" s="47"/>
      <c r="B186" s="48"/>
      <c r="C186" s="67"/>
      <c r="D186" s="47"/>
      <c r="E186" s="47"/>
      <c r="F186" s="47"/>
      <c r="G186" s="47"/>
      <c r="H186" s="47"/>
      <c r="I186" s="49"/>
      <c r="J186" s="50"/>
      <c r="K186" s="50"/>
      <c r="L186" s="50"/>
      <c r="M186" s="47"/>
      <c r="N186" s="47"/>
      <c r="O186" s="47"/>
      <c r="P186" s="47"/>
      <c r="Q186" s="47"/>
      <c r="R186" s="47"/>
      <c r="S186" s="47"/>
      <c r="T186" s="47"/>
      <c r="U186" s="48"/>
      <c r="V186" s="48"/>
      <c r="W186" s="48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</row>
    <row r="187" spans="1:39" ht="14.25" customHeight="1" x14ac:dyDescent="0.3">
      <c r="B187" s="51"/>
      <c r="I187" s="52"/>
      <c r="J187" s="52"/>
      <c r="K187" s="52"/>
      <c r="L187" s="52"/>
      <c r="U187" s="51"/>
      <c r="V187" s="51"/>
      <c r="W187" s="51"/>
    </row>
    <row r="188" spans="1:39" ht="14.25" customHeight="1" x14ac:dyDescent="0.3">
      <c r="B188" s="51"/>
      <c r="I188" s="52"/>
      <c r="J188" s="52"/>
      <c r="K188" s="52"/>
      <c r="L188" s="52"/>
      <c r="U188" s="51"/>
      <c r="V188" s="51"/>
      <c r="W188" s="51"/>
    </row>
    <row r="189" spans="1:39" ht="14.25" customHeight="1" x14ac:dyDescent="0.3">
      <c r="B189" s="51"/>
      <c r="I189" s="52"/>
      <c r="J189" s="52"/>
      <c r="K189" s="52"/>
      <c r="L189" s="52"/>
      <c r="U189" s="51"/>
      <c r="V189" s="51"/>
      <c r="W189" s="51"/>
    </row>
    <row r="190" spans="1:39" ht="14.25" customHeight="1" x14ac:dyDescent="0.3">
      <c r="B190" s="51"/>
      <c r="I190" s="52"/>
      <c r="J190" s="52"/>
      <c r="K190" s="52"/>
      <c r="L190" s="52"/>
      <c r="U190" s="51"/>
      <c r="V190" s="51"/>
      <c r="W190" s="51"/>
    </row>
    <row r="191" spans="1:39" ht="14.25" customHeight="1" x14ac:dyDescent="0.3">
      <c r="B191" s="51"/>
      <c r="I191" s="52"/>
      <c r="J191" s="52"/>
      <c r="K191" s="52"/>
      <c r="L191" s="52"/>
      <c r="U191" s="51"/>
      <c r="V191" s="51"/>
      <c r="W191" s="51"/>
    </row>
    <row r="192" spans="1:39" ht="14.25" customHeight="1" x14ac:dyDescent="0.3">
      <c r="B192" s="51"/>
      <c r="I192" s="52"/>
      <c r="J192" s="52"/>
      <c r="K192" s="52"/>
      <c r="L192" s="52"/>
      <c r="U192" s="51"/>
      <c r="V192" s="51"/>
      <c r="W192" s="51"/>
    </row>
    <row r="193" spans="2:23" ht="14.25" customHeight="1" x14ac:dyDescent="0.3">
      <c r="B193" s="51"/>
      <c r="I193" s="52"/>
      <c r="J193" s="52"/>
      <c r="K193" s="52"/>
      <c r="L193" s="52"/>
      <c r="U193" s="51"/>
      <c r="V193" s="51"/>
      <c r="W193" s="51"/>
    </row>
    <row r="194" spans="2:23" ht="14.25" customHeight="1" x14ac:dyDescent="0.3">
      <c r="B194" s="51"/>
      <c r="I194" s="52"/>
      <c r="J194" s="52"/>
      <c r="K194" s="52"/>
      <c r="L194" s="52"/>
      <c r="U194" s="51"/>
      <c r="V194" s="51"/>
      <c r="W194" s="51"/>
    </row>
    <row r="195" spans="2:23" ht="14.25" customHeight="1" x14ac:dyDescent="0.3">
      <c r="B195" s="51"/>
      <c r="I195" s="52"/>
      <c r="J195" s="52"/>
      <c r="K195" s="52"/>
      <c r="L195" s="52"/>
      <c r="U195" s="51"/>
      <c r="V195" s="51"/>
      <c r="W195" s="51"/>
    </row>
    <row r="196" spans="2:23" ht="14.25" customHeight="1" x14ac:dyDescent="0.3">
      <c r="B196" s="51"/>
      <c r="I196" s="52"/>
      <c r="J196" s="52"/>
      <c r="K196" s="52"/>
      <c r="L196" s="52"/>
      <c r="U196" s="51"/>
      <c r="V196" s="51"/>
      <c r="W196" s="51"/>
    </row>
    <row r="197" spans="2:23" ht="14.25" customHeight="1" x14ac:dyDescent="0.3">
      <c r="B197" s="51"/>
      <c r="I197" s="52"/>
      <c r="J197" s="52"/>
      <c r="K197" s="52"/>
      <c r="L197" s="52"/>
      <c r="U197" s="51"/>
      <c r="V197" s="51"/>
      <c r="W197" s="51"/>
    </row>
    <row r="198" spans="2:23" ht="14.25" customHeight="1" x14ac:dyDescent="0.3">
      <c r="B198" s="51"/>
      <c r="I198" s="52"/>
      <c r="J198" s="52"/>
      <c r="K198" s="52"/>
      <c r="L198" s="52"/>
      <c r="U198" s="51"/>
      <c r="V198" s="51"/>
      <c r="W198" s="51"/>
    </row>
    <row r="199" spans="2:23" ht="14.25" customHeight="1" x14ac:dyDescent="0.3">
      <c r="B199" s="51"/>
      <c r="I199" s="52"/>
      <c r="J199" s="52"/>
      <c r="K199" s="52"/>
      <c r="L199" s="52"/>
      <c r="U199" s="51"/>
      <c r="V199" s="51"/>
      <c r="W199" s="51"/>
    </row>
    <row r="200" spans="2:23" ht="14.25" customHeight="1" x14ac:dyDescent="0.3">
      <c r="B200" s="51"/>
      <c r="I200" s="52"/>
      <c r="J200" s="52"/>
      <c r="K200" s="52"/>
      <c r="L200" s="52"/>
      <c r="U200" s="51"/>
      <c r="V200" s="51"/>
      <c r="W200" s="51"/>
    </row>
    <row r="201" spans="2:23" ht="14.25" customHeight="1" x14ac:dyDescent="0.3">
      <c r="B201" s="51"/>
      <c r="I201" s="52"/>
      <c r="J201" s="52"/>
      <c r="K201" s="52"/>
      <c r="L201" s="52"/>
      <c r="U201" s="51"/>
      <c r="V201" s="51"/>
      <c r="W201" s="51"/>
    </row>
    <row r="202" spans="2:23" ht="14.25" customHeight="1" x14ac:dyDescent="0.3">
      <c r="B202" s="51"/>
      <c r="I202" s="52"/>
      <c r="J202" s="52"/>
      <c r="K202" s="52"/>
      <c r="L202" s="52"/>
      <c r="U202" s="51"/>
      <c r="V202" s="51"/>
      <c r="W202" s="51"/>
    </row>
    <row r="203" spans="2:23" ht="14.25" customHeight="1" x14ac:dyDescent="0.3">
      <c r="B203" s="51"/>
      <c r="I203" s="52"/>
      <c r="J203" s="52"/>
      <c r="K203" s="52"/>
      <c r="L203" s="52"/>
      <c r="U203" s="51"/>
      <c r="V203" s="51"/>
      <c r="W203" s="51"/>
    </row>
    <row r="204" spans="2:23" ht="14.25" customHeight="1" x14ac:dyDescent="0.3">
      <c r="B204" s="51"/>
      <c r="I204" s="52"/>
      <c r="J204" s="52"/>
      <c r="K204" s="52"/>
      <c r="L204" s="52"/>
      <c r="U204" s="51"/>
      <c r="V204" s="51"/>
      <c r="W204" s="51"/>
    </row>
    <row r="205" spans="2:23" ht="14.25" customHeight="1" x14ac:dyDescent="0.3">
      <c r="B205" s="51"/>
      <c r="I205" s="52"/>
      <c r="J205" s="52"/>
      <c r="K205" s="52"/>
      <c r="L205" s="52"/>
      <c r="U205" s="51"/>
      <c r="V205" s="51"/>
      <c r="W205" s="51"/>
    </row>
    <row r="206" spans="2:23" ht="14.25" customHeight="1" x14ac:dyDescent="0.3">
      <c r="B206" s="51"/>
      <c r="I206" s="52"/>
      <c r="J206" s="52"/>
      <c r="K206" s="52"/>
      <c r="L206" s="52"/>
      <c r="U206" s="51"/>
      <c r="V206" s="51"/>
      <c r="W206" s="51"/>
    </row>
    <row r="207" spans="2:23" ht="14.25" customHeight="1" x14ac:dyDescent="0.3">
      <c r="B207" s="51"/>
      <c r="I207" s="52"/>
      <c r="J207" s="52"/>
      <c r="K207" s="52"/>
      <c r="L207" s="52"/>
      <c r="U207" s="51"/>
      <c r="V207" s="51"/>
      <c r="W207" s="51"/>
    </row>
    <row r="208" spans="2:23" ht="14.25" customHeight="1" x14ac:dyDescent="0.3">
      <c r="B208" s="51"/>
      <c r="I208" s="52"/>
      <c r="J208" s="52"/>
      <c r="K208" s="52"/>
      <c r="L208" s="52"/>
      <c r="U208" s="51"/>
      <c r="V208" s="51"/>
      <c r="W208" s="51"/>
    </row>
    <row r="209" spans="2:23" ht="14.25" customHeight="1" x14ac:dyDescent="0.3">
      <c r="B209" s="51"/>
      <c r="I209" s="52"/>
      <c r="J209" s="52"/>
      <c r="K209" s="52"/>
      <c r="L209" s="52"/>
      <c r="U209" s="51"/>
      <c r="V209" s="51"/>
      <c r="W209" s="51"/>
    </row>
    <row r="210" spans="2:23" ht="14.25" customHeight="1" x14ac:dyDescent="0.3">
      <c r="B210" s="51"/>
      <c r="I210" s="52"/>
      <c r="J210" s="52"/>
      <c r="K210" s="52"/>
      <c r="L210" s="52"/>
      <c r="U210" s="51"/>
      <c r="V210" s="51"/>
      <c r="W210" s="51"/>
    </row>
    <row r="211" spans="2:23" ht="14.25" customHeight="1" x14ac:dyDescent="0.3">
      <c r="B211" s="51"/>
      <c r="I211" s="52"/>
      <c r="J211" s="52"/>
      <c r="K211" s="52"/>
      <c r="L211" s="52"/>
      <c r="U211" s="51"/>
      <c r="V211" s="51"/>
      <c r="W211" s="51"/>
    </row>
    <row r="212" spans="2:23" ht="14.25" customHeight="1" x14ac:dyDescent="0.3">
      <c r="B212" s="51"/>
      <c r="I212" s="52"/>
      <c r="J212" s="52"/>
      <c r="K212" s="52"/>
      <c r="L212" s="52"/>
      <c r="U212" s="51"/>
      <c r="V212" s="51"/>
      <c r="W212" s="51"/>
    </row>
    <row r="213" spans="2:23" ht="14.25" customHeight="1" x14ac:dyDescent="0.3">
      <c r="B213" s="51"/>
      <c r="I213" s="52"/>
      <c r="J213" s="52"/>
      <c r="K213" s="52"/>
      <c r="L213" s="52"/>
      <c r="U213" s="51"/>
      <c r="V213" s="51"/>
      <c r="W213" s="51"/>
    </row>
    <row r="214" spans="2:23" ht="14.25" customHeight="1" x14ac:dyDescent="0.3">
      <c r="B214" s="51"/>
      <c r="I214" s="52"/>
      <c r="J214" s="52"/>
      <c r="K214" s="52"/>
      <c r="L214" s="52"/>
      <c r="U214" s="51"/>
      <c r="V214" s="51"/>
      <c r="W214" s="51"/>
    </row>
    <row r="215" spans="2:23" ht="14.25" customHeight="1" x14ac:dyDescent="0.3">
      <c r="B215" s="51"/>
      <c r="I215" s="52"/>
      <c r="J215" s="52"/>
      <c r="K215" s="52"/>
      <c r="L215" s="52"/>
      <c r="U215" s="51"/>
      <c r="V215" s="51"/>
      <c r="W215" s="51"/>
    </row>
    <row r="216" spans="2:23" ht="14.25" customHeight="1" x14ac:dyDescent="0.3">
      <c r="B216" s="51"/>
      <c r="I216" s="52"/>
      <c r="J216" s="52"/>
      <c r="K216" s="52"/>
      <c r="L216" s="52"/>
      <c r="U216" s="51"/>
      <c r="V216" s="51"/>
      <c r="W216" s="51"/>
    </row>
    <row r="217" spans="2:23" ht="14.25" customHeight="1" x14ac:dyDescent="0.3">
      <c r="B217" s="51"/>
      <c r="I217" s="52"/>
      <c r="J217" s="52"/>
      <c r="K217" s="52"/>
      <c r="L217" s="52"/>
      <c r="U217" s="51"/>
      <c r="V217" s="51"/>
      <c r="W217" s="51"/>
    </row>
    <row r="218" spans="2:23" ht="14.25" customHeight="1" x14ac:dyDescent="0.3">
      <c r="B218" s="51"/>
      <c r="I218" s="52"/>
      <c r="J218" s="52"/>
      <c r="K218" s="52"/>
      <c r="L218" s="52"/>
      <c r="U218" s="51"/>
      <c r="V218" s="51"/>
      <c r="W218" s="51"/>
    </row>
    <row r="219" spans="2:23" ht="14.25" customHeight="1" x14ac:dyDescent="0.3">
      <c r="B219" s="51"/>
      <c r="I219" s="52"/>
      <c r="J219" s="52"/>
      <c r="K219" s="52"/>
      <c r="L219" s="52"/>
      <c r="U219" s="51"/>
      <c r="V219" s="51"/>
      <c r="W219" s="51"/>
    </row>
    <row r="220" spans="2:23" ht="14.25" customHeight="1" x14ac:dyDescent="0.3">
      <c r="B220" s="51"/>
      <c r="I220" s="52"/>
      <c r="J220" s="52"/>
      <c r="K220" s="52"/>
      <c r="L220" s="52"/>
      <c r="U220" s="51"/>
      <c r="V220" s="51"/>
      <c r="W220" s="51"/>
    </row>
    <row r="221" spans="2:23" ht="14.25" customHeight="1" x14ac:dyDescent="0.3">
      <c r="B221" s="51"/>
      <c r="I221" s="52"/>
      <c r="J221" s="52"/>
      <c r="K221" s="52"/>
      <c r="L221" s="52"/>
      <c r="U221" s="51"/>
      <c r="V221" s="51"/>
      <c r="W221" s="51"/>
    </row>
    <row r="222" spans="2:23" ht="14.25" customHeight="1" x14ac:dyDescent="0.3">
      <c r="B222" s="51"/>
      <c r="I222" s="52"/>
      <c r="J222" s="52"/>
      <c r="K222" s="52"/>
      <c r="L222" s="52"/>
      <c r="U222" s="51"/>
      <c r="V222" s="51"/>
      <c r="W222" s="51"/>
    </row>
    <row r="223" spans="2:23" ht="14.25" customHeight="1" x14ac:dyDescent="0.3">
      <c r="B223" s="51"/>
      <c r="I223" s="52"/>
      <c r="J223" s="52"/>
      <c r="K223" s="52"/>
      <c r="L223" s="52"/>
      <c r="U223" s="51"/>
      <c r="V223" s="51"/>
      <c r="W223" s="51"/>
    </row>
    <row r="224" spans="2:23" ht="14.25" customHeight="1" x14ac:dyDescent="0.3">
      <c r="B224" s="51"/>
      <c r="I224" s="52"/>
      <c r="J224" s="52"/>
      <c r="K224" s="52"/>
      <c r="L224" s="52"/>
      <c r="U224" s="51"/>
      <c r="V224" s="51"/>
      <c r="W224" s="51"/>
    </row>
    <row r="225" spans="2:23" ht="14.25" customHeight="1" x14ac:dyDescent="0.3">
      <c r="B225" s="51"/>
      <c r="I225" s="52"/>
      <c r="J225" s="52"/>
      <c r="K225" s="52"/>
      <c r="L225" s="52"/>
      <c r="U225" s="51"/>
      <c r="V225" s="51"/>
      <c r="W225" s="51"/>
    </row>
    <row r="226" spans="2:23" ht="14.25" customHeight="1" x14ac:dyDescent="0.3">
      <c r="B226" s="51"/>
      <c r="I226" s="52"/>
      <c r="J226" s="52"/>
      <c r="K226" s="52"/>
      <c r="L226" s="52"/>
      <c r="U226" s="51"/>
      <c r="V226" s="51"/>
      <c r="W226" s="51"/>
    </row>
    <row r="227" spans="2:23" ht="14.25" customHeight="1" x14ac:dyDescent="0.3">
      <c r="B227" s="51"/>
      <c r="I227" s="52"/>
      <c r="J227" s="52"/>
      <c r="K227" s="52"/>
      <c r="L227" s="52"/>
      <c r="U227" s="51"/>
      <c r="V227" s="51"/>
      <c r="W227" s="51"/>
    </row>
    <row r="228" spans="2:23" ht="14.25" customHeight="1" x14ac:dyDescent="0.3">
      <c r="B228" s="51"/>
      <c r="I228" s="52"/>
      <c r="J228" s="52"/>
      <c r="K228" s="52"/>
      <c r="L228" s="52"/>
      <c r="U228" s="51"/>
      <c r="V228" s="51"/>
      <c r="W228" s="51"/>
    </row>
    <row r="229" spans="2:23" ht="14.25" customHeight="1" x14ac:dyDescent="0.3">
      <c r="B229" s="51"/>
      <c r="I229" s="52"/>
      <c r="J229" s="52"/>
      <c r="K229" s="52"/>
      <c r="L229" s="52"/>
      <c r="U229" s="51"/>
      <c r="V229" s="51"/>
      <c r="W229" s="51"/>
    </row>
    <row r="230" spans="2:23" ht="14.25" customHeight="1" x14ac:dyDescent="0.3">
      <c r="B230" s="51"/>
      <c r="I230" s="52"/>
      <c r="J230" s="52"/>
      <c r="K230" s="52"/>
      <c r="L230" s="52"/>
      <c r="U230" s="51"/>
      <c r="V230" s="51"/>
      <c r="W230" s="51"/>
    </row>
    <row r="231" spans="2:23" ht="14.25" customHeight="1" x14ac:dyDescent="0.3">
      <c r="B231" s="51"/>
      <c r="I231" s="52"/>
      <c r="J231" s="52"/>
      <c r="K231" s="52"/>
      <c r="L231" s="52"/>
      <c r="U231" s="51"/>
      <c r="V231" s="51"/>
      <c r="W231" s="51"/>
    </row>
    <row r="232" spans="2:23" ht="14.25" customHeight="1" x14ac:dyDescent="0.3">
      <c r="B232" s="51"/>
      <c r="I232" s="52"/>
      <c r="J232" s="52"/>
      <c r="K232" s="52"/>
      <c r="L232" s="52"/>
      <c r="U232" s="51"/>
      <c r="V232" s="51"/>
      <c r="W232" s="51"/>
    </row>
    <row r="233" spans="2:23" ht="14.25" customHeight="1" x14ac:dyDescent="0.3">
      <c r="B233" s="51"/>
      <c r="I233" s="52"/>
      <c r="J233" s="52"/>
      <c r="K233" s="52"/>
      <c r="L233" s="52"/>
      <c r="U233" s="51"/>
      <c r="V233" s="51"/>
      <c r="W233" s="51"/>
    </row>
    <row r="234" spans="2:23" ht="14.25" customHeight="1" x14ac:dyDescent="0.3">
      <c r="B234" s="51"/>
      <c r="I234" s="52"/>
      <c r="J234" s="52"/>
      <c r="K234" s="52"/>
      <c r="L234" s="52"/>
      <c r="U234" s="51"/>
      <c r="V234" s="51"/>
      <c r="W234" s="51"/>
    </row>
    <row r="235" spans="2:23" ht="14.25" customHeight="1" x14ac:dyDescent="0.3">
      <c r="B235" s="51"/>
      <c r="I235" s="52"/>
      <c r="J235" s="52"/>
      <c r="K235" s="52"/>
      <c r="L235" s="52"/>
      <c r="U235" s="51"/>
      <c r="V235" s="51"/>
      <c r="W235" s="51"/>
    </row>
    <row r="236" spans="2:23" ht="14.25" customHeight="1" x14ac:dyDescent="0.3">
      <c r="B236" s="51"/>
      <c r="I236" s="52"/>
      <c r="J236" s="52"/>
      <c r="K236" s="52"/>
      <c r="L236" s="52"/>
      <c r="U236" s="51"/>
      <c r="V236" s="51"/>
      <c r="W236" s="51"/>
    </row>
    <row r="237" spans="2:23" ht="14.25" customHeight="1" x14ac:dyDescent="0.3">
      <c r="B237" s="51"/>
      <c r="I237" s="52"/>
      <c r="J237" s="52"/>
      <c r="K237" s="52"/>
      <c r="L237" s="52"/>
      <c r="U237" s="51"/>
      <c r="V237" s="51"/>
      <c r="W237" s="51"/>
    </row>
    <row r="238" spans="2:23" ht="14.25" customHeight="1" x14ac:dyDescent="0.3">
      <c r="B238" s="51"/>
      <c r="I238" s="52"/>
      <c r="J238" s="52"/>
      <c r="K238" s="52"/>
      <c r="L238" s="52"/>
      <c r="U238" s="51"/>
      <c r="V238" s="51"/>
      <c r="W238" s="51"/>
    </row>
    <row r="239" spans="2:23" ht="14.25" customHeight="1" x14ac:dyDescent="0.3">
      <c r="B239" s="51"/>
      <c r="I239" s="52"/>
      <c r="J239" s="52"/>
      <c r="K239" s="52"/>
      <c r="L239" s="52"/>
      <c r="U239" s="51"/>
      <c r="V239" s="51"/>
      <c r="W239" s="51"/>
    </row>
    <row r="240" spans="2:23" ht="14.25" customHeight="1" x14ac:dyDescent="0.3">
      <c r="B240" s="51"/>
      <c r="I240" s="52"/>
      <c r="J240" s="52"/>
      <c r="K240" s="52"/>
      <c r="L240" s="52"/>
      <c r="U240" s="51"/>
      <c r="V240" s="51"/>
      <c r="W240" s="51"/>
    </row>
    <row r="241" spans="2:23" ht="14.25" customHeight="1" x14ac:dyDescent="0.3">
      <c r="B241" s="51"/>
      <c r="I241" s="52"/>
      <c r="J241" s="52"/>
      <c r="K241" s="52"/>
      <c r="L241" s="52"/>
      <c r="U241" s="51"/>
      <c r="V241" s="51"/>
      <c r="W241" s="51"/>
    </row>
    <row r="242" spans="2:23" ht="14.25" customHeight="1" x14ac:dyDescent="0.3">
      <c r="B242" s="51"/>
      <c r="I242" s="52"/>
      <c r="J242" s="52"/>
      <c r="K242" s="52"/>
      <c r="L242" s="52"/>
      <c r="U242" s="51"/>
      <c r="V242" s="51"/>
      <c r="W242" s="51"/>
    </row>
    <row r="243" spans="2:23" ht="14.25" customHeight="1" x14ac:dyDescent="0.3">
      <c r="B243" s="51"/>
      <c r="I243" s="52"/>
      <c r="J243" s="52"/>
      <c r="K243" s="52"/>
      <c r="L243" s="52"/>
      <c r="U243" s="51"/>
      <c r="V243" s="51"/>
      <c r="W243" s="51"/>
    </row>
    <row r="244" spans="2:23" ht="14.25" customHeight="1" x14ac:dyDescent="0.3">
      <c r="B244" s="51"/>
      <c r="I244" s="52"/>
      <c r="J244" s="52"/>
      <c r="K244" s="52"/>
      <c r="L244" s="52"/>
      <c r="U244" s="51"/>
      <c r="V244" s="51"/>
      <c r="W244" s="51"/>
    </row>
    <row r="245" spans="2:23" ht="14.25" customHeight="1" x14ac:dyDescent="0.3">
      <c r="B245" s="51"/>
      <c r="I245" s="52"/>
      <c r="J245" s="52"/>
      <c r="K245" s="52"/>
      <c r="L245" s="52"/>
      <c r="U245" s="51"/>
      <c r="V245" s="51"/>
      <c r="W245" s="51"/>
    </row>
    <row r="246" spans="2:23" ht="14.25" customHeight="1" x14ac:dyDescent="0.3">
      <c r="B246" s="51"/>
      <c r="I246" s="52"/>
      <c r="J246" s="52"/>
      <c r="K246" s="52"/>
      <c r="L246" s="52"/>
      <c r="U246" s="51"/>
      <c r="V246" s="51"/>
      <c r="W246" s="51"/>
    </row>
    <row r="247" spans="2:23" ht="14.25" customHeight="1" x14ac:dyDescent="0.3">
      <c r="B247" s="51"/>
      <c r="I247" s="52"/>
      <c r="J247" s="52"/>
      <c r="K247" s="52"/>
      <c r="L247" s="52"/>
      <c r="U247" s="51"/>
      <c r="V247" s="51"/>
      <c r="W247" s="51"/>
    </row>
    <row r="248" spans="2:23" ht="14.25" customHeight="1" x14ac:dyDescent="0.3">
      <c r="B248" s="51"/>
      <c r="I248" s="52"/>
      <c r="J248" s="52"/>
      <c r="K248" s="52"/>
      <c r="L248" s="52"/>
      <c r="U248" s="51"/>
      <c r="V248" s="51"/>
      <c r="W248" s="51"/>
    </row>
    <row r="249" spans="2:23" ht="14.25" customHeight="1" x14ac:dyDescent="0.3">
      <c r="B249" s="51"/>
      <c r="I249" s="52"/>
      <c r="J249" s="52"/>
      <c r="K249" s="52"/>
      <c r="L249" s="52"/>
      <c r="U249" s="51"/>
      <c r="V249" s="51"/>
      <c r="W249" s="51"/>
    </row>
    <row r="250" spans="2:23" ht="14.25" customHeight="1" x14ac:dyDescent="0.3">
      <c r="B250" s="51"/>
      <c r="I250" s="52"/>
      <c r="J250" s="52"/>
      <c r="K250" s="52"/>
      <c r="L250" s="52"/>
      <c r="U250" s="51"/>
      <c r="V250" s="51"/>
      <c r="W250" s="51"/>
    </row>
    <row r="251" spans="2:23" ht="14.25" customHeight="1" x14ac:dyDescent="0.3">
      <c r="B251" s="51"/>
      <c r="I251" s="52"/>
      <c r="J251" s="52"/>
      <c r="K251" s="52"/>
      <c r="L251" s="52"/>
      <c r="U251" s="51"/>
      <c r="V251" s="51"/>
      <c r="W251" s="51"/>
    </row>
    <row r="252" spans="2:23" ht="14.25" customHeight="1" x14ac:dyDescent="0.3">
      <c r="B252" s="51"/>
      <c r="I252" s="52"/>
      <c r="J252" s="52"/>
      <c r="K252" s="52"/>
      <c r="L252" s="52"/>
      <c r="U252" s="51"/>
      <c r="V252" s="51"/>
      <c r="W252" s="51"/>
    </row>
    <row r="253" spans="2:23" ht="14.25" customHeight="1" x14ac:dyDescent="0.3">
      <c r="B253" s="51"/>
      <c r="I253" s="52"/>
      <c r="J253" s="52"/>
      <c r="K253" s="52"/>
      <c r="L253" s="52"/>
      <c r="U253" s="51"/>
      <c r="V253" s="51"/>
      <c r="W253" s="51"/>
    </row>
    <row r="254" spans="2:23" ht="14.25" customHeight="1" x14ac:dyDescent="0.3">
      <c r="B254" s="51"/>
      <c r="I254" s="52"/>
      <c r="J254" s="52"/>
      <c r="K254" s="52"/>
      <c r="L254" s="52"/>
      <c r="U254" s="51"/>
      <c r="V254" s="51"/>
      <c r="W254" s="51"/>
    </row>
    <row r="255" spans="2:23" ht="14.25" customHeight="1" x14ac:dyDescent="0.3">
      <c r="B255" s="51"/>
      <c r="I255" s="52"/>
      <c r="J255" s="52"/>
      <c r="K255" s="52"/>
      <c r="L255" s="52"/>
      <c r="U255" s="51"/>
      <c r="V255" s="51"/>
      <c r="W255" s="51"/>
    </row>
    <row r="256" spans="2:23" ht="14.25" customHeight="1" x14ac:dyDescent="0.3">
      <c r="B256" s="51"/>
      <c r="I256" s="52"/>
      <c r="J256" s="52"/>
      <c r="K256" s="52"/>
      <c r="L256" s="52"/>
      <c r="U256" s="51"/>
      <c r="V256" s="51"/>
      <c r="W256" s="51"/>
    </row>
    <row r="257" spans="2:23" ht="14.25" customHeight="1" x14ac:dyDescent="0.3">
      <c r="B257" s="51"/>
      <c r="I257" s="52"/>
      <c r="J257" s="52"/>
      <c r="K257" s="52"/>
      <c r="L257" s="52"/>
      <c r="U257" s="51"/>
      <c r="V257" s="51"/>
      <c r="W257" s="51"/>
    </row>
    <row r="258" spans="2:23" ht="14.25" customHeight="1" x14ac:dyDescent="0.3">
      <c r="B258" s="51"/>
      <c r="I258" s="52"/>
      <c r="J258" s="52"/>
      <c r="K258" s="52"/>
      <c r="L258" s="52"/>
      <c r="U258" s="51"/>
      <c r="V258" s="51"/>
      <c r="W258" s="51"/>
    </row>
    <row r="259" spans="2:23" ht="14.25" customHeight="1" x14ac:dyDescent="0.3">
      <c r="B259" s="51"/>
      <c r="I259" s="52"/>
      <c r="J259" s="52"/>
      <c r="K259" s="52"/>
      <c r="L259" s="52"/>
      <c r="U259" s="51"/>
      <c r="V259" s="51"/>
      <c r="W259" s="51"/>
    </row>
    <row r="260" spans="2:23" ht="14.25" customHeight="1" x14ac:dyDescent="0.3">
      <c r="B260" s="51"/>
      <c r="I260" s="52"/>
      <c r="J260" s="52"/>
      <c r="K260" s="52"/>
      <c r="L260" s="52"/>
      <c r="U260" s="51"/>
      <c r="V260" s="51"/>
      <c r="W260" s="51"/>
    </row>
    <row r="261" spans="2:23" ht="14.25" customHeight="1" x14ac:dyDescent="0.3">
      <c r="B261" s="51"/>
      <c r="I261" s="52"/>
      <c r="J261" s="52"/>
      <c r="K261" s="52"/>
      <c r="L261" s="52"/>
      <c r="U261" s="51"/>
      <c r="V261" s="51"/>
      <c r="W261" s="51"/>
    </row>
    <row r="262" spans="2:23" ht="14.25" customHeight="1" x14ac:dyDescent="0.3">
      <c r="B262" s="51"/>
      <c r="I262" s="52"/>
      <c r="J262" s="52"/>
      <c r="K262" s="52"/>
      <c r="L262" s="52"/>
      <c r="U262" s="51"/>
      <c r="V262" s="51"/>
      <c r="W262" s="51"/>
    </row>
    <row r="263" spans="2:23" ht="14.25" customHeight="1" x14ac:dyDescent="0.3">
      <c r="B263" s="51"/>
      <c r="I263" s="52"/>
      <c r="J263" s="52"/>
      <c r="K263" s="52"/>
      <c r="L263" s="52"/>
      <c r="U263" s="51"/>
      <c r="V263" s="51"/>
      <c r="W263" s="51"/>
    </row>
    <row r="264" spans="2:23" ht="14.25" customHeight="1" x14ac:dyDescent="0.3">
      <c r="B264" s="51"/>
      <c r="I264" s="52"/>
      <c r="J264" s="52"/>
      <c r="K264" s="52"/>
      <c r="L264" s="52"/>
      <c r="U264" s="51"/>
      <c r="V264" s="51"/>
      <c r="W264" s="51"/>
    </row>
    <row r="265" spans="2:23" ht="14.25" customHeight="1" x14ac:dyDescent="0.3">
      <c r="B265" s="51"/>
      <c r="I265" s="52"/>
      <c r="J265" s="52"/>
      <c r="K265" s="52"/>
      <c r="L265" s="52"/>
      <c r="U265" s="51"/>
      <c r="V265" s="51"/>
      <c r="W265" s="51"/>
    </row>
    <row r="266" spans="2:23" ht="14.25" customHeight="1" x14ac:dyDescent="0.3">
      <c r="B266" s="51"/>
      <c r="I266" s="52"/>
      <c r="J266" s="52"/>
      <c r="K266" s="52"/>
      <c r="L266" s="52"/>
      <c r="U266" s="51"/>
      <c r="V266" s="51"/>
      <c r="W266" s="51"/>
    </row>
    <row r="267" spans="2:23" ht="14.25" customHeight="1" x14ac:dyDescent="0.3">
      <c r="B267" s="51"/>
      <c r="I267" s="52"/>
      <c r="J267" s="52"/>
      <c r="K267" s="52"/>
      <c r="L267" s="52"/>
      <c r="U267" s="51"/>
      <c r="V267" s="51"/>
      <c r="W267" s="51"/>
    </row>
    <row r="268" spans="2:23" ht="14.25" customHeight="1" x14ac:dyDescent="0.3">
      <c r="B268" s="51"/>
      <c r="I268" s="52"/>
      <c r="J268" s="52"/>
      <c r="K268" s="52"/>
      <c r="L268" s="52"/>
      <c r="U268" s="51"/>
      <c r="V268" s="51"/>
      <c r="W268" s="51"/>
    </row>
    <row r="269" spans="2:23" ht="14.25" customHeight="1" x14ac:dyDescent="0.3">
      <c r="B269" s="51"/>
      <c r="I269" s="52"/>
      <c r="J269" s="52"/>
      <c r="K269" s="52"/>
      <c r="L269" s="52"/>
      <c r="U269" s="51"/>
      <c r="V269" s="51"/>
      <c r="W269" s="51"/>
    </row>
    <row r="270" spans="2:23" ht="14.25" customHeight="1" x14ac:dyDescent="0.3">
      <c r="B270" s="51"/>
      <c r="I270" s="52"/>
      <c r="J270" s="52"/>
      <c r="K270" s="52"/>
      <c r="L270" s="52"/>
      <c r="U270" s="51"/>
      <c r="V270" s="51"/>
      <c r="W270" s="51"/>
    </row>
    <row r="271" spans="2:23" ht="14.25" customHeight="1" x14ac:dyDescent="0.3">
      <c r="B271" s="51"/>
      <c r="I271" s="52"/>
      <c r="J271" s="52"/>
      <c r="K271" s="52"/>
      <c r="L271" s="52"/>
      <c r="U271" s="51"/>
      <c r="V271" s="51"/>
      <c r="W271" s="51"/>
    </row>
    <row r="272" spans="2:23" ht="14.25" customHeight="1" x14ac:dyDescent="0.3">
      <c r="B272" s="51"/>
      <c r="I272" s="52"/>
      <c r="J272" s="52"/>
      <c r="K272" s="52"/>
      <c r="L272" s="52"/>
      <c r="U272" s="51"/>
      <c r="V272" s="51"/>
      <c r="W272" s="51"/>
    </row>
    <row r="273" spans="2:23" ht="14.25" customHeight="1" x14ac:dyDescent="0.3">
      <c r="B273" s="51"/>
      <c r="I273" s="52"/>
      <c r="J273" s="52"/>
      <c r="K273" s="52"/>
      <c r="L273" s="52"/>
      <c r="U273" s="51"/>
      <c r="V273" s="51"/>
      <c r="W273" s="51"/>
    </row>
    <row r="274" spans="2:23" ht="14.25" customHeight="1" x14ac:dyDescent="0.3">
      <c r="B274" s="51"/>
      <c r="I274" s="52"/>
      <c r="J274" s="52"/>
      <c r="K274" s="52"/>
      <c r="L274" s="52"/>
      <c r="U274" s="51"/>
      <c r="V274" s="51"/>
      <c r="W274" s="51"/>
    </row>
    <row r="275" spans="2:23" ht="14.25" customHeight="1" x14ac:dyDescent="0.3">
      <c r="B275" s="51"/>
      <c r="I275" s="52"/>
      <c r="J275" s="52"/>
      <c r="K275" s="52"/>
      <c r="L275" s="52"/>
      <c r="U275" s="51"/>
      <c r="V275" s="51"/>
      <c r="W275" s="51"/>
    </row>
    <row r="276" spans="2:23" ht="14.25" customHeight="1" x14ac:dyDescent="0.3">
      <c r="B276" s="51"/>
      <c r="I276" s="52"/>
      <c r="J276" s="52"/>
      <c r="K276" s="52"/>
      <c r="L276" s="52"/>
      <c r="U276" s="51"/>
      <c r="V276" s="51"/>
      <c r="W276" s="51"/>
    </row>
    <row r="277" spans="2:23" ht="14.25" customHeight="1" x14ac:dyDescent="0.3">
      <c r="B277" s="51"/>
      <c r="I277" s="52"/>
      <c r="J277" s="52"/>
      <c r="K277" s="52"/>
      <c r="L277" s="52"/>
      <c r="U277" s="51"/>
      <c r="V277" s="51"/>
      <c r="W277" s="51"/>
    </row>
    <row r="278" spans="2:23" ht="14.25" customHeight="1" x14ac:dyDescent="0.3">
      <c r="B278" s="51"/>
      <c r="I278" s="52"/>
      <c r="J278" s="52"/>
      <c r="K278" s="52"/>
      <c r="L278" s="52"/>
      <c r="U278" s="51"/>
      <c r="V278" s="51"/>
      <c r="W278" s="51"/>
    </row>
    <row r="279" spans="2:23" ht="14.25" customHeight="1" x14ac:dyDescent="0.3">
      <c r="B279" s="51"/>
      <c r="I279" s="52"/>
      <c r="J279" s="52"/>
      <c r="K279" s="52"/>
      <c r="L279" s="52"/>
      <c r="U279" s="51"/>
      <c r="V279" s="51"/>
      <c r="W279" s="51"/>
    </row>
    <row r="280" spans="2:23" ht="14.25" customHeight="1" x14ac:dyDescent="0.3">
      <c r="B280" s="51"/>
      <c r="I280" s="52"/>
      <c r="J280" s="52"/>
      <c r="K280" s="52"/>
      <c r="L280" s="52"/>
      <c r="U280" s="51"/>
      <c r="V280" s="51"/>
      <c r="W280" s="51"/>
    </row>
    <row r="281" spans="2:23" ht="14.25" customHeight="1" x14ac:dyDescent="0.3">
      <c r="B281" s="51"/>
      <c r="I281" s="52"/>
      <c r="J281" s="52"/>
      <c r="K281" s="52"/>
      <c r="L281" s="52"/>
      <c r="U281" s="51"/>
      <c r="V281" s="51"/>
      <c r="W281" s="51"/>
    </row>
    <row r="282" spans="2:23" ht="14.25" customHeight="1" x14ac:dyDescent="0.3">
      <c r="B282" s="51"/>
      <c r="I282" s="52"/>
      <c r="J282" s="52"/>
      <c r="K282" s="52"/>
      <c r="L282" s="52"/>
      <c r="U282" s="51"/>
      <c r="V282" s="51"/>
      <c r="W282" s="51"/>
    </row>
    <row r="283" spans="2:23" ht="14.25" customHeight="1" x14ac:dyDescent="0.3">
      <c r="B283" s="51"/>
      <c r="I283" s="52"/>
      <c r="J283" s="52"/>
      <c r="K283" s="52"/>
      <c r="L283" s="52"/>
      <c r="U283" s="51"/>
      <c r="V283" s="51"/>
      <c r="W283" s="51"/>
    </row>
    <row r="284" spans="2:23" ht="14.25" customHeight="1" x14ac:dyDescent="0.3">
      <c r="B284" s="51"/>
      <c r="I284" s="52"/>
      <c r="J284" s="52"/>
      <c r="K284" s="52"/>
      <c r="L284" s="52"/>
      <c r="U284" s="51"/>
      <c r="V284" s="51"/>
      <c r="W284" s="51"/>
    </row>
    <row r="285" spans="2:23" ht="14.25" customHeight="1" x14ac:dyDescent="0.3">
      <c r="B285" s="51"/>
      <c r="I285" s="52"/>
      <c r="J285" s="52"/>
      <c r="K285" s="52"/>
      <c r="L285" s="52"/>
      <c r="U285" s="51"/>
      <c r="V285" s="51"/>
      <c r="W285" s="51"/>
    </row>
    <row r="286" spans="2:23" ht="14.25" customHeight="1" x14ac:dyDescent="0.3">
      <c r="B286" s="51"/>
      <c r="I286" s="52"/>
      <c r="J286" s="52"/>
      <c r="K286" s="52"/>
      <c r="L286" s="52"/>
      <c r="U286" s="51"/>
      <c r="V286" s="51"/>
      <c r="W286" s="51"/>
    </row>
    <row r="287" spans="2:23" ht="14.25" customHeight="1" x14ac:dyDescent="0.3">
      <c r="B287" s="51"/>
      <c r="I287" s="52"/>
      <c r="J287" s="52"/>
      <c r="K287" s="52"/>
      <c r="L287" s="52"/>
      <c r="U287" s="51"/>
      <c r="V287" s="51"/>
      <c r="W287" s="51"/>
    </row>
    <row r="288" spans="2:23" ht="14.25" customHeight="1" x14ac:dyDescent="0.3">
      <c r="B288" s="51"/>
      <c r="I288" s="52"/>
      <c r="J288" s="52"/>
      <c r="K288" s="52"/>
      <c r="L288" s="52"/>
      <c r="U288" s="51"/>
      <c r="V288" s="51"/>
      <c r="W288" s="51"/>
    </row>
    <row r="289" spans="2:23" ht="14.25" customHeight="1" x14ac:dyDescent="0.3">
      <c r="B289" s="51"/>
      <c r="I289" s="52"/>
      <c r="J289" s="52"/>
      <c r="K289" s="52"/>
      <c r="L289" s="52"/>
      <c r="U289" s="51"/>
      <c r="V289" s="51"/>
      <c r="W289" s="51"/>
    </row>
    <row r="290" spans="2:23" ht="14.25" customHeight="1" x14ac:dyDescent="0.3">
      <c r="B290" s="51"/>
      <c r="I290" s="52"/>
      <c r="J290" s="52"/>
      <c r="K290" s="52"/>
      <c r="L290" s="52"/>
      <c r="U290" s="51"/>
      <c r="V290" s="51"/>
      <c r="W290" s="51"/>
    </row>
    <row r="291" spans="2:23" ht="14.25" customHeight="1" x14ac:dyDescent="0.3">
      <c r="B291" s="51"/>
      <c r="I291" s="52"/>
      <c r="J291" s="52"/>
      <c r="K291" s="52"/>
      <c r="L291" s="52"/>
      <c r="U291" s="51"/>
      <c r="V291" s="51"/>
      <c r="W291" s="51"/>
    </row>
    <row r="292" spans="2:23" ht="14.25" customHeight="1" x14ac:dyDescent="0.3">
      <c r="B292" s="51"/>
      <c r="I292" s="52"/>
      <c r="J292" s="52"/>
      <c r="K292" s="52"/>
      <c r="L292" s="52"/>
      <c r="U292" s="51"/>
      <c r="V292" s="51"/>
      <c r="W292" s="51"/>
    </row>
    <row r="293" spans="2:23" ht="14.25" customHeight="1" x14ac:dyDescent="0.3">
      <c r="B293" s="51"/>
      <c r="I293" s="52"/>
      <c r="J293" s="52"/>
      <c r="K293" s="52"/>
      <c r="L293" s="52"/>
      <c r="U293" s="51"/>
      <c r="V293" s="51"/>
      <c r="W293" s="51"/>
    </row>
    <row r="294" spans="2:23" ht="14.25" customHeight="1" x14ac:dyDescent="0.3">
      <c r="B294" s="51"/>
      <c r="I294" s="52"/>
      <c r="J294" s="52"/>
      <c r="K294" s="52"/>
      <c r="L294" s="52"/>
      <c r="U294" s="51"/>
      <c r="V294" s="51"/>
      <c r="W294" s="51"/>
    </row>
    <row r="295" spans="2:23" ht="14.25" customHeight="1" x14ac:dyDescent="0.3">
      <c r="B295" s="51"/>
      <c r="I295" s="52"/>
      <c r="J295" s="52"/>
      <c r="K295" s="52"/>
      <c r="L295" s="52"/>
      <c r="U295" s="51"/>
      <c r="V295" s="51"/>
      <c r="W295" s="51"/>
    </row>
    <row r="296" spans="2:23" ht="14.25" customHeight="1" x14ac:dyDescent="0.3">
      <c r="B296" s="51"/>
      <c r="I296" s="52"/>
      <c r="J296" s="52"/>
      <c r="K296" s="52"/>
      <c r="L296" s="52"/>
      <c r="U296" s="51"/>
      <c r="V296" s="51"/>
      <c r="W296" s="51"/>
    </row>
    <row r="297" spans="2:23" ht="14.25" customHeight="1" x14ac:dyDescent="0.3">
      <c r="B297" s="51"/>
      <c r="I297" s="52"/>
      <c r="J297" s="52"/>
      <c r="K297" s="52"/>
      <c r="L297" s="52"/>
      <c r="U297" s="51"/>
      <c r="V297" s="51"/>
      <c r="W297" s="51"/>
    </row>
    <row r="298" spans="2:23" ht="14.25" customHeight="1" x14ac:dyDescent="0.3">
      <c r="B298" s="51"/>
      <c r="I298" s="52"/>
      <c r="J298" s="52"/>
      <c r="K298" s="52"/>
      <c r="L298" s="52"/>
      <c r="U298" s="51"/>
      <c r="V298" s="51"/>
      <c r="W298" s="51"/>
    </row>
    <row r="299" spans="2:23" ht="14.25" customHeight="1" x14ac:dyDescent="0.3">
      <c r="B299" s="51"/>
      <c r="I299" s="52"/>
      <c r="J299" s="52"/>
      <c r="K299" s="52"/>
      <c r="L299" s="52"/>
      <c r="U299" s="51"/>
      <c r="V299" s="51"/>
      <c r="W299" s="51"/>
    </row>
    <row r="300" spans="2:23" ht="14.25" customHeight="1" x14ac:dyDescent="0.3">
      <c r="B300" s="51"/>
      <c r="I300" s="52"/>
      <c r="J300" s="52"/>
      <c r="K300" s="52"/>
      <c r="L300" s="52"/>
      <c r="U300" s="51"/>
      <c r="V300" s="51"/>
      <c r="W300" s="51"/>
    </row>
    <row r="301" spans="2:23" ht="14.25" customHeight="1" x14ac:dyDescent="0.3">
      <c r="B301" s="51"/>
      <c r="I301" s="52"/>
      <c r="J301" s="52"/>
      <c r="K301" s="52"/>
      <c r="L301" s="52"/>
      <c r="U301" s="51"/>
      <c r="V301" s="51"/>
      <c r="W301" s="51"/>
    </row>
    <row r="302" spans="2:23" ht="14.25" customHeight="1" x14ac:dyDescent="0.3">
      <c r="B302" s="51"/>
      <c r="I302" s="52"/>
      <c r="J302" s="52"/>
      <c r="K302" s="52"/>
      <c r="L302" s="52"/>
      <c r="U302" s="51"/>
      <c r="V302" s="51"/>
      <c r="W302" s="51"/>
    </row>
    <row r="303" spans="2:23" ht="14.25" customHeight="1" x14ac:dyDescent="0.3">
      <c r="B303" s="51"/>
      <c r="I303" s="52"/>
      <c r="J303" s="52"/>
      <c r="K303" s="52"/>
      <c r="L303" s="52"/>
      <c r="U303" s="51"/>
      <c r="V303" s="51"/>
      <c r="W303" s="51"/>
    </row>
    <row r="304" spans="2:23" ht="14.25" customHeight="1" x14ac:dyDescent="0.3">
      <c r="B304" s="51"/>
      <c r="I304" s="52"/>
      <c r="J304" s="52"/>
      <c r="K304" s="52"/>
      <c r="L304" s="52"/>
      <c r="U304" s="51"/>
      <c r="V304" s="51"/>
      <c r="W304" s="51"/>
    </row>
    <row r="305" spans="2:23" ht="14.25" customHeight="1" x14ac:dyDescent="0.3">
      <c r="B305" s="51"/>
      <c r="I305" s="52"/>
      <c r="J305" s="52"/>
      <c r="K305" s="52"/>
      <c r="L305" s="52"/>
      <c r="U305" s="51"/>
      <c r="V305" s="51"/>
      <c r="W305" s="51"/>
    </row>
    <row r="306" spans="2:23" ht="14.25" customHeight="1" x14ac:dyDescent="0.3">
      <c r="B306" s="51"/>
      <c r="I306" s="52"/>
      <c r="J306" s="52"/>
      <c r="K306" s="52"/>
      <c r="L306" s="52"/>
      <c r="U306" s="51"/>
      <c r="V306" s="51"/>
      <c r="W306" s="51"/>
    </row>
    <row r="307" spans="2:23" ht="14.25" customHeight="1" x14ac:dyDescent="0.3">
      <c r="B307" s="51"/>
      <c r="I307" s="52"/>
      <c r="J307" s="52"/>
      <c r="K307" s="52"/>
      <c r="L307" s="52"/>
      <c r="U307" s="51"/>
      <c r="V307" s="51"/>
      <c r="W307" s="51"/>
    </row>
    <row r="308" spans="2:23" ht="14.25" customHeight="1" x14ac:dyDescent="0.3">
      <c r="B308" s="51"/>
      <c r="I308" s="52"/>
      <c r="J308" s="52"/>
      <c r="K308" s="52"/>
      <c r="L308" s="52"/>
      <c r="U308" s="51"/>
      <c r="V308" s="51"/>
      <c r="W308" s="51"/>
    </row>
    <row r="309" spans="2:23" ht="14.25" customHeight="1" x14ac:dyDescent="0.3">
      <c r="B309" s="51"/>
      <c r="I309" s="52"/>
      <c r="J309" s="52"/>
      <c r="K309" s="52"/>
      <c r="L309" s="52"/>
      <c r="U309" s="51"/>
      <c r="V309" s="51"/>
      <c r="W309" s="51"/>
    </row>
    <row r="310" spans="2:23" ht="14.25" customHeight="1" x14ac:dyDescent="0.3">
      <c r="B310" s="51"/>
      <c r="I310" s="52"/>
      <c r="J310" s="52"/>
      <c r="K310" s="52"/>
      <c r="L310" s="52"/>
      <c r="U310" s="51"/>
      <c r="V310" s="51"/>
      <c r="W310" s="51"/>
    </row>
    <row r="311" spans="2:23" ht="14.25" customHeight="1" x14ac:dyDescent="0.3">
      <c r="B311" s="51"/>
      <c r="I311" s="52"/>
      <c r="J311" s="52"/>
      <c r="K311" s="52"/>
      <c r="L311" s="52"/>
      <c r="U311" s="51"/>
      <c r="V311" s="51"/>
      <c r="W311" s="51"/>
    </row>
    <row r="312" spans="2:23" ht="14.25" customHeight="1" x14ac:dyDescent="0.3">
      <c r="B312" s="51"/>
      <c r="I312" s="52"/>
      <c r="J312" s="52"/>
      <c r="K312" s="52"/>
      <c r="L312" s="52"/>
      <c r="U312" s="51"/>
      <c r="V312" s="51"/>
      <c r="W312" s="51"/>
    </row>
    <row r="313" spans="2:23" ht="14.25" customHeight="1" x14ac:dyDescent="0.3">
      <c r="B313" s="51"/>
      <c r="I313" s="52"/>
      <c r="J313" s="52"/>
      <c r="K313" s="52"/>
      <c r="L313" s="52"/>
      <c r="U313" s="51"/>
      <c r="V313" s="51"/>
      <c r="W313" s="51"/>
    </row>
    <row r="314" spans="2:23" ht="14.25" customHeight="1" x14ac:dyDescent="0.3">
      <c r="B314" s="51"/>
      <c r="I314" s="52"/>
      <c r="J314" s="52"/>
      <c r="K314" s="52"/>
      <c r="L314" s="52"/>
      <c r="U314" s="51"/>
      <c r="V314" s="51"/>
      <c r="W314" s="51"/>
    </row>
    <row r="315" spans="2:23" ht="14.25" customHeight="1" x14ac:dyDescent="0.3">
      <c r="B315" s="51"/>
      <c r="I315" s="52"/>
      <c r="J315" s="52"/>
      <c r="K315" s="52"/>
      <c r="L315" s="52"/>
      <c r="U315" s="51"/>
      <c r="V315" s="51"/>
      <c r="W315" s="51"/>
    </row>
    <row r="316" spans="2:23" ht="14.25" customHeight="1" x14ac:dyDescent="0.3">
      <c r="B316" s="51"/>
      <c r="I316" s="52"/>
      <c r="J316" s="52"/>
      <c r="K316" s="52"/>
      <c r="L316" s="52"/>
      <c r="U316" s="51"/>
      <c r="V316" s="51"/>
      <c r="W316" s="51"/>
    </row>
    <row r="317" spans="2:23" ht="14.25" customHeight="1" x14ac:dyDescent="0.3">
      <c r="B317" s="51"/>
      <c r="I317" s="52"/>
      <c r="J317" s="52"/>
      <c r="K317" s="52"/>
      <c r="L317" s="52"/>
      <c r="U317" s="51"/>
      <c r="V317" s="51"/>
      <c r="W317" s="51"/>
    </row>
    <row r="318" spans="2:23" ht="14.25" customHeight="1" x14ac:dyDescent="0.3">
      <c r="B318" s="51"/>
      <c r="I318" s="52"/>
      <c r="J318" s="52"/>
      <c r="K318" s="52"/>
      <c r="L318" s="52"/>
      <c r="U318" s="51"/>
      <c r="V318" s="51"/>
      <c r="W318" s="51"/>
    </row>
    <row r="319" spans="2:23" ht="14.25" customHeight="1" x14ac:dyDescent="0.3">
      <c r="B319" s="51"/>
      <c r="I319" s="52"/>
      <c r="J319" s="52"/>
      <c r="K319" s="52"/>
      <c r="L319" s="52"/>
      <c r="U319" s="51"/>
      <c r="V319" s="51"/>
      <c r="W319" s="51"/>
    </row>
    <row r="320" spans="2:23" ht="14.25" customHeight="1" x14ac:dyDescent="0.3">
      <c r="B320" s="51"/>
      <c r="I320" s="52"/>
      <c r="J320" s="52"/>
      <c r="K320" s="52"/>
      <c r="L320" s="52"/>
      <c r="U320" s="51"/>
      <c r="V320" s="51"/>
      <c r="W320" s="51"/>
    </row>
    <row r="321" spans="2:23" ht="14.25" customHeight="1" x14ac:dyDescent="0.3">
      <c r="B321" s="51"/>
      <c r="I321" s="52"/>
      <c r="J321" s="52"/>
      <c r="K321" s="52"/>
      <c r="L321" s="52"/>
      <c r="U321" s="51"/>
      <c r="V321" s="51"/>
      <c r="W321" s="51"/>
    </row>
    <row r="322" spans="2:23" ht="14.25" customHeight="1" x14ac:dyDescent="0.3">
      <c r="B322" s="51"/>
      <c r="I322" s="52"/>
      <c r="J322" s="52"/>
      <c r="K322" s="52"/>
      <c r="L322" s="52"/>
      <c r="U322" s="51"/>
      <c r="V322" s="51"/>
      <c r="W322" s="51"/>
    </row>
    <row r="323" spans="2:23" ht="14.25" customHeight="1" x14ac:dyDescent="0.3">
      <c r="B323" s="51"/>
      <c r="I323" s="52"/>
      <c r="J323" s="52"/>
      <c r="K323" s="52"/>
      <c r="L323" s="52"/>
      <c r="U323" s="51"/>
      <c r="V323" s="51"/>
      <c r="W323" s="51"/>
    </row>
    <row r="324" spans="2:23" ht="14.25" customHeight="1" x14ac:dyDescent="0.3">
      <c r="B324" s="51"/>
      <c r="I324" s="52"/>
      <c r="J324" s="52"/>
      <c r="K324" s="52"/>
      <c r="L324" s="52"/>
      <c r="U324" s="51"/>
      <c r="V324" s="51"/>
      <c r="W324" s="51"/>
    </row>
    <row r="325" spans="2:23" ht="14.25" customHeight="1" x14ac:dyDescent="0.3">
      <c r="B325" s="51"/>
      <c r="I325" s="52"/>
      <c r="J325" s="52"/>
      <c r="K325" s="52"/>
      <c r="L325" s="52"/>
      <c r="U325" s="51"/>
      <c r="V325" s="51"/>
      <c r="W325" s="51"/>
    </row>
    <row r="326" spans="2:23" ht="14.25" customHeight="1" x14ac:dyDescent="0.3">
      <c r="B326" s="51"/>
      <c r="I326" s="52"/>
      <c r="J326" s="52"/>
      <c r="K326" s="52"/>
      <c r="L326" s="52"/>
      <c r="U326" s="51"/>
      <c r="V326" s="51"/>
      <c r="W326" s="51"/>
    </row>
    <row r="327" spans="2:23" ht="14.25" customHeight="1" x14ac:dyDescent="0.3">
      <c r="B327" s="51"/>
      <c r="I327" s="52"/>
      <c r="J327" s="52"/>
      <c r="K327" s="52"/>
      <c r="L327" s="52"/>
      <c r="U327" s="51"/>
      <c r="V327" s="51"/>
      <c r="W327" s="51"/>
    </row>
    <row r="328" spans="2:23" ht="14.25" customHeight="1" x14ac:dyDescent="0.3">
      <c r="B328" s="51"/>
      <c r="I328" s="52"/>
      <c r="J328" s="52"/>
      <c r="K328" s="52"/>
      <c r="L328" s="52"/>
      <c r="U328" s="51"/>
      <c r="V328" s="51"/>
      <c r="W328" s="51"/>
    </row>
    <row r="329" spans="2:23" ht="14.25" customHeight="1" x14ac:dyDescent="0.3">
      <c r="B329" s="51"/>
      <c r="I329" s="52"/>
      <c r="J329" s="52"/>
      <c r="K329" s="52"/>
      <c r="L329" s="52"/>
      <c r="U329" s="51"/>
      <c r="V329" s="51"/>
      <c r="W329" s="51"/>
    </row>
    <row r="330" spans="2:23" ht="14.25" customHeight="1" x14ac:dyDescent="0.3">
      <c r="B330" s="51"/>
      <c r="I330" s="52"/>
      <c r="J330" s="52"/>
      <c r="K330" s="52"/>
      <c r="L330" s="52"/>
      <c r="U330" s="51"/>
      <c r="V330" s="51"/>
      <c r="W330" s="51"/>
    </row>
    <row r="331" spans="2:23" ht="14.25" customHeight="1" x14ac:dyDescent="0.3">
      <c r="B331" s="51"/>
      <c r="I331" s="52"/>
      <c r="J331" s="52"/>
      <c r="K331" s="52"/>
      <c r="L331" s="52"/>
      <c r="U331" s="51"/>
      <c r="V331" s="51"/>
      <c r="W331" s="51"/>
    </row>
    <row r="332" spans="2:23" ht="14.25" customHeight="1" x14ac:dyDescent="0.3">
      <c r="B332" s="51"/>
      <c r="I332" s="52"/>
      <c r="J332" s="52"/>
      <c r="K332" s="52"/>
      <c r="L332" s="52"/>
      <c r="U332" s="51"/>
      <c r="V332" s="51"/>
      <c r="W332" s="51"/>
    </row>
    <row r="333" spans="2:23" ht="14.25" customHeight="1" x14ac:dyDescent="0.3">
      <c r="B333" s="51"/>
      <c r="I333" s="52"/>
      <c r="J333" s="52"/>
      <c r="K333" s="52"/>
      <c r="L333" s="52"/>
      <c r="U333" s="51"/>
      <c r="V333" s="51"/>
      <c r="W333" s="51"/>
    </row>
    <row r="334" spans="2:23" ht="14.25" customHeight="1" x14ac:dyDescent="0.3">
      <c r="B334" s="51"/>
      <c r="I334" s="52"/>
      <c r="J334" s="52"/>
      <c r="K334" s="52"/>
      <c r="L334" s="52"/>
      <c r="U334" s="51"/>
      <c r="V334" s="51"/>
      <c r="W334" s="51"/>
    </row>
    <row r="335" spans="2:23" ht="14.25" customHeight="1" x14ac:dyDescent="0.3">
      <c r="B335" s="51"/>
      <c r="I335" s="52"/>
      <c r="J335" s="52"/>
      <c r="K335" s="52"/>
      <c r="L335" s="52"/>
      <c r="U335" s="51"/>
      <c r="V335" s="51"/>
      <c r="W335" s="51"/>
    </row>
    <row r="336" spans="2:23" ht="14.25" customHeight="1" x14ac:dyDescent="0.3">
      <c r="B336" s="51"/>
      <c r="I336" s="52"/>
      <c r="J336" s="52"/>
      <c r="K336" s="52"/>
      <c r="L336" s="52"/>
      <c r="U336" s="51"/>
      <c r="V336" s="51"/>
      <c r="W336" s="51"/>
    </row>
    <row r="337" spans="2:23" ht="14.25" customHeight="1" x14ac:dyDescent="0.3">
      <c r="B337" s="51"/>
      <c r="I337" s="52"/>
      <c r="J337" s="52"/>
      <c r="K337" s="52"/>
      <c r="L337" s="52"/>
      <c r="U337" s="51"/>
      <c r="V337" s="51"/>
      <c r="W337" s="51"/>
    </row>
    <row r="338" spans="2:23" ht="14.25" customHeight="1" x14ac:dyDescent="0.3">
      <c r="B338" s="51"/>
      <c r="I338" s="52"/>
      <c r="J338" s="52"/>
      <c r="K338" s="52"/>
      <c r="L338" s="52"/>
      <c r="U338" s="51"/>
      <c r="V338" s="51"/>
      <c r="W338" s="51"/>
    </row>
    <row r="339" spans="2:23" ht="14.25" customHeight="1" x14ac:dyDescent="0.3">
      <c r="B339" s="51"/>
      <c r="I339" s="52"/>
      <c r="J339" s="52"/>
      <c r="K339" s="52"/>
      <c r="L339" s="52"/>
      <c r="U339" s="51"/>
      <c r="V339" s="51"/>
      <c r="W339" s="51"/>
    </row>
    <row r="340" spans="2:23" ht="14.25" customHeight="1" x14ac:dyDescent="0.3">
      <c r="B340" s="51"/>
      <c r="I340" s="52"/>
      <c r="J340" s="52"/>
      <c r="K340" s="52"/>
      <c r="L340" s="52"/>
      <c r="U340" s="51"/>
      <c r="V340" s="51"/>
      <c r="W340" s="51"/>
    </row>
    <row r="341" spans="2:23" ht="14.25" customHeight="1" x14ac:dyDescent="0.3">
      <c r="B341" s="51"/>
      <c r="I341" s="52"/>
      <c r="J341" s="52"/>
      <c r="K341" s="52"/>
      <c r="L341" s="52"/>
      <c r="U341" s="51"/>
      <c r="V341" s="51"/>
      <c r="W341" s="51"/>
    </row>
    <row r="342" spans="2:23" ht="14.25" customHeight="1" x14ac:dyDescent="0.3">
      <c r="B342" s="51"/>
      <c r="I342" s="52"/>
      <c r="J342" s="52"/>
      <c r="K342" s="52"/>
      <c r="L342" s="52"/>
      <c r="U342" s="51"/>
      <c r="V342" s="51"/>
      <c r="W342" s="51"/>
    </row>
    <row r="343" spans="2:23" ht="14.25" customHeight="1" x14ac:dyDescent="0.3">
      <c r="B343" s="51"/>
      <c r="I343" s="52"/>
      <c r="J343" s="52"/>
      <c r="K343" s="52"/>
      <c r="L343" s="52"/>
      <c r="U343" s="51"/>
      <c r="V343" s="51"/>
      <c r="W343" s="51"/>
    </row>
    <row r="344" spans="2:23" ht="14.25" customHeight="1" x14ac:dyDescent="0.3">
      <c r="B344" s="51"/>
      <c r="I344" s="52"/>
      <c r="J344" s="52"/>
      <c r="K344" s="52"/>
      <c r="L344" s="52"/>
      <c r="U344" s="51"/>
      <c r="V344" s="51"/>
      <c r="W344" s="51"/>
    </row>
    <row r="345" spans="2:23" ht="14.25" customHeight="1" x14ac:dyDescent="0.3">
      <c r="B345" s="51"/>
      <c r="I345" s="52"/>
      <c r="J345" s="52"/>
      <c r="K345" s="52"/>
      <c r="L345" s="52"/>
      <c r="U345" s="51"/>
      <c r="V345" s="51"/>
      <c r="W345" s="51"/>
    </row>
    <row r="346" spans="2:23" ht="14.25" customHeight="1" x14ac:dyDescent="0.3">
      <c r="B346" s="51"/>
      <c r="I346" s="52"/>
      <c r="J346" s="52"/>
      <c r="K346" s="52"/>
      <c r="L346" s="52"/>
      <c r="U346" s="51"/>
      <c r="V346" s="51"/>
      <c r="W346" s="51"/>
    </row>
    <row r="347" spans="2:23" ht="14.25" customHeight="1" x14ac:dyDescent="0.3">
      <c r="B347" s="51"/>
      <c r="I347" s="52"/>
      <c r="J347" s="52"/>
      <c r="K347" s="52"/>
      <c r="L347" s="52"/>
      <c r="U347" s="51"/>
      <c r="V347" s="51"/>
      <c r="W347" s="51"/>
    </row>
    <row r="348" spans="2:23" ht="14.25" customHeight="1" x14ac:dyDescent="0.3">
      <c r="B348" s="51"/>
      <c r="I348" s="52"/>
      <c r="J348" s="52"/>
      <c r="K348" s="52"/>
      <c r="L348" s="52"/>
      <c r="U348" s="51"/>
      <c r="V348" s="51"/>
      <c r="W348" s="51"/>
    </row>
    <row r="349" spans="2:23" ht="14.25" customHeight="1" x14ac:dyDescent="0.3">
      <c r="B349" s="51"/>
      <c r="I349" s="52"/>
      <c r="J349" s="52"/>
      <c r="K349" s="52"/>
      <c r="L349" s="52"/>
      <c r="U349" s="51"/>
      <c r="V349" s="51"/>
      <c r="W349" s="51"/>
    </row>
    <row r="350" spans="2:23" ht="14.25" customHeight="1" x14ac:dyDescent="0.3">
      <c r="B350" s="51"/>
      <c r="I350" s="52"/>
      <c r="J350" s="52"/>
      <c r="K350" s="52"/>
      <c r="L350" s="52"/>
      <c r="U350" s="51"/>
      <c r="V350" s="51"/>
      <c r="W350" s="51"/>
    </row>
    <row r="351" spans="2:23" ht="14.25" customHeight="1" x14ac:dyDescent="0.3">
      <c r="B351" s="51"/>
      <c r="I351" s="52"/>
      <c r="J351" s="52"/>
      <c r="K351" s="52"/>
      <c r="L351" s="52"/>
      <c r="U351" s="51"/>
      <c r="V351" s="51"/>
      <c r="W351" s="51"/>
    </row>
    <row r="352" spans="2:23" ht="14.25" customHeight="1" x14ac:dyDescent="0.3">
      <c r="B352" s="51"/>
      <c r="I352" s="52"/>
      <c r="J352" s="52"/>
      <c r="K352" s="52"/>
      <c r="L352" s="52"/>
      <c r="U352" s="51"/>
      <c r="V352" s="51"/>
      <c r="W352" s="51"/>
    </row>
    <row r="353" spans="2:23" ht="14.25" customHeight="1" x14ac:dyDescent="0.3">
      <c r="B353" s="51"/>
      <c r="I353" s="52"/>
      <c r="J353" s="52"/>
      <c r="K353" s="52"/>
      <c r="L353" s="52"/>
      <c r="U353" s="51"/>
      <c r="V353" s="51"/>
      <c r="W353" s="51"/>
    </row>
    <row r="354" spans="2:23" ht="14.25" customHeight="1" x14ac:dyDescent="0.3">
      <c r="B354" s="51"/>
      <c r="I354" s="52"/>
      <c r="J354" s="52"/>
      <c r="K354" s="52"/>
      <c r="L354" s="52"/>
      <c r="U354" s="51"/>
      <c r="V354" s="51"/>
      <c r="W354" s="51"/>
    </row>
    <row r="355" spans="2:23" ht="14.25" customHeight="1" x14ac:dyDescent="0.3">
      <c r="B355" s="51"/>
      <c r="I355" s="52"/>
      <c r="J355" s="52"/>
      <c r="K355" s="52"/>
      <c r="L355" s="52"/>
      <c r="U355" s="51"/>
      <c r="V355" s="51"/>
      <c r="W355" s="51"/>
    </row>
    <row r="356" spans="2:23" ht="14.25" customHeight="1" x14ac:dyDescent="0.3">
      <c r="B356" s="51"/>
      <c r="I356" s="52"/>
      <c r="J356" s="52"/>
      <c r="K356" s="52"/>
      <c r="L356" s="52"/>
      <c r="U356" s="51"/>
      <c r="V356" s="51"/>
      <c r="W356" s="51"/>
    </row>
    <row r="357" spans="2:23" ht="14.25" customHeight="1" x14ac:dyDescent="0.3">
      <c r="B357" s="51"/>
      <c r="I357" s="52"/>
      <c r="J357" s="52"/>
      <c r="K357" s="52"/>
      <c r="L357" s="52"/>
      <c r="U357" s="51"/>
      <c r="V357" s="51"/>
      <c r="W357" s="51"/>
    </row>
    <row r="358" spans="2:23" ht="14.25" customHeight="1" x14ac:dyDescent="0.3">
      <c r="B358" s="51"/>
      <c r="I358" s="52"/>
      <c r="J358" s="52"/>
      <c r="K358" s="52"/>
      <c r="L358" s="52"/>
      <c r="U358" s="51"/>
      <c r="V358" s="51"/>
      <c r="W358" s="51"/>
    </row>
    <row r="359" spans="2:23" ht="14.25" customHeight="1" x14ac:dyDescent="0.3">
      <c r="B359" s="51"/>
      <c r="I359" s="52"/>
      <c r="J359" s="52"/>
      <c r="K359" s="52"/>
      <c r="L359" s="52"/>
      <c r="U359" s="51"/>
      <c r="V359" s="51"/>
      <c r="W359" s="51"/>
    </row>
    <row r="360" spans="2:23" ht="14.25" customHeight="1" x14ac:dyDescent="0.3">
      <c r="B360" s="51"/>
      <c r="I360" s="52"/>
      <c r="J360" s="52"/>
      <c r="K360" s="52"/>
      <c r="L360" s="52"/>
      <c r="U360" s="51"/>
      <c r="V360" s="51"/>
      <c r="W360" s="51"/>
    </row>
    <row r="361" spans="2:23" ht="14.25" customHeight="1" x14ac:dyDescent="0.3">
      <c r="B361" s="51"/>
      <c r="I361" s="52"/>
      <c r="J361" s="52"/>
      <c r="K361" s="52"/>
      <c r="L361" s="52"/>
      <c r="U361" s="51"/>
      <c r="V361" s="51"/>
      <c r="W361" s="51"/>
    </row>
    <row r="362" spans="2:23" ht="14.25" customHeight="1" x14ac:dyDescent="0.3">
      <c r="B362" s="51"/>
      <c r="I362" s="52"/>
      <c r="J362" s="52"/>
      <c r="K362" s="52"/>
      <c r="L362" s="52"/>
      <c r="U362" s="51"/>
      <c r="V362" s="51"/>
      <c r="W362" s="51"/>
    </row>
    <row r="363" spans="2:23" ht="14.25" customHeight="1" x14ac:dyDescent="0.3">
      <c r="B363" s="51"/>
      <c r="I363" s="52"/>
      <c r="J363" s="52"/>
      <c r="K363" s="52"/>
      <c r="L363" s="52"/>
      <c r="U363" s="51"/>
      <c r="V363" s="51"/>
      <c r="W363" s="51"/>
    </row>
    <row r="364" spans="2:23" ht="14.25" customHeight="1" x14ac:dyDescent="0.3">
      <c r="B364" s="51"/>
      <c r="I364" s="52"/>
      <c r="J364" s="52"/>
      <c r="K364" s="52"/>
      <c r="L364" s="52"/>
      <c r="U364" s="51"/>
      <c r="V364" s="51"/>
      <c r="W364" s="51"/>
    </row>
    <row r="365" spans="2:23" ht="14.25" customHeight="1" x14ac:dyDescent="0.3">
      <c r="B365" s="51"/>
      <c r="I365" s="52"/>
      <c r="J365" s="52"/>
      <c r="K365" s="52"/>
      <c r="L365" s="52"/>
      <c r="U365" s="51"/>
      <c r="V365" s="51"/>
      <c r="W365" s="51"/>
    </row>
    <row r="366" spans="2:23" ht="14.25" customHeight="1" x14ac:dyDescent="0.3">
      <c r="B366" s="51"/>
      <c r="I366" s="52"/>
      <c r="J366" s="52"/>
      <c r="K366" s="52"/>
      <c r="L366" s="52"/>
      <c r="U366" s="51"/>
      <c r="V366" s="51"/>
      <c r="W366" s="51"/>
    </row>
    <row r="367" spans="2:23" ht="14.25" customHeight="1" x14ac:dyDescent="0.3">
      <c r="B367" s="51"/>
      <c r="I367" s="52"/>
      <c r="J367" s="52"/>
      <c r="K367" s="52"/>
      <c r="L367" s="52"/>
      <c r="U367" s="51"/>
      <c r="V367" s="51"/>
      <c r="W367" s="51"/>
    </row>
    <row r="368" spans="2:23" ht="14.25" customHeight="1" x14ac:dyDescent="0.3">
      <c r="B368" s="51"/>
      <c r="I368" s="52"/>
      <c r="J368" s="52"/>
      <c r="K368" s="52"/>
      <c r="L368" s="52"/>
      <c r="U368" s="51"/>
      <c r="V368" s="51"/>
      <c r="W368" s="51"/>
    </row>
    <row r="369" spans="2:23" ht="14.25" customHeight="1" x14ac:dyDescent="0.3">
      <c r="B369" s="51"/>
      <c r="I369" s="52"/>
      <c r="J369" s="52"/>
      <c r="K369" s="52"/>
      <c r="L369" s="52"/>
      <c r="U369" s="51"/>
      <c r="V369" s="51"/>
      <c r="W369" s="51"/>
    </row>
    <row r="370" spans="2:23" ht="14.25" customHeight="1" x14ac:dyDescent="0.3">
      <c r="B370" s="51"/>
      <c r="I370" s="52"/>
      <c r="J370" s="52"/>
      <c r="K370" s="52"/>
      <c r="L370" s="52"/>
      <c r="U370" s="51"/>
      <c r="V370" s="51"/>
      <c r="W370" s="51"/>
    </row>
    <row r="371" spans="2:23" ht="14.25" customHeight="1" x14ac:dyDescent="0.3">
      <c r="B371" s="51"/>
      <c r="I371" s="52"/>
      <c r="J371" s="52"/>
      <c r="K371" s="52"/>
      <c r="L371" s="52"/>
      <c r="U371" s="51"/>
      <c r="V371" s="51"/>
      <c r="W371" s="51"/>
    </row>
    <row r="372" spans="2:23" ht="14.25" customHeight="1" x14ac:dyDescent="0.3">
      <c r="B372" s="51"/>
      <c r="I372" s="52"/>
      <c r="J372" s="52"/>
      <c r="K372" s="52"/>
      <c r="L372" s="52"/>
      <c r="U372" s="51"/>
      <c r="V372" s="51"/>
      <c r="W372" s="51"/>
    </row>
    <row r="373" spans="2:23" ht="14.25" customHeight="1" x14ac:dyDescent="0.3">
      <c r="B373" s="51"/>
      <c r="I373" s="52"/>
      <c r="J373" s="52"/>
      <c r="K373" s="52"/>
      <c r="L373" s="52"/>
      <c r="U373" s="51"/>
      <c r="V373" s="51"/>
      <c r="W373" s="51"/>
    </row>
    <row r="374" spans="2:23" ht="14.25" customHeight="1" x14ac:dyDescent="0.3">
      <c r="B374" s="51"/>
      <c r="I374" s="52"/>
      <c r="J374" s="52"/>
      <c r="K374" s="52"/>
      <c r="L374" s="52"/>
      <c r="U374" s="51"/>
      <c r="V374" s="51"/>
      <c r="W374" s="51"/>
    </row>
    <row r="375" spans="2:23" ht="14.25" customHeight="1" x14ac:dyDescent="0.3">
      <c r="B375" s="51"/>
      <c r="I375" s="52"/>
      <c r="J375" s="52"/>
      <c r="K375" s="52"/>
      <c r="L375" s="52"/>
      <c r="U375" s="51"/>
      <c r="V375" s="51"/>
      <c r="W375" s="51"/>
    </row>
    <row r="376" spans="2:23" ht="14.25" customHeight="1" x14ac:dyDescent="0.3">
      <c r="B376" s="51"/>
      <c r="I376" s="52"/>
      <c r="J376" s="52"/>
      <c r="K376" s="52"/>
      <c r="L376" s="52"/>
      <c r="U376" s="51"/>
      <c r="V376" s="51"/>
      <c r="W376" s="51"/>
    </row>
    <row r="377" spans="2:23" ht="14.25" customHeight="1" x14ac:dyDescent="0.3">
      <c r="B377" s="51"/>
      <c r="I377" s="52"/>
      <c r="J377" s="52"/>
      <c r="K377" s="52"/>
      <c r="L377" s="52"/>
      <c r="U377" s="51"/>
      <c r="V377" s="51"/>
      <c r="W377" s="51"/>
    </row>
    <row r="378" spans="2:23" ht="14.25" customHeight="1" x14ac:dyDescent="0.3">
      <c r="B378" s="51"/>
      <c r="I378" s="52"/>
      <c r="J378" s="52"/>
      <c r="K378" s="52"/>
      <c r="L378" s="52"/>
      <c r="U378" s="51"/>
      <c r="V378" s="51"/>
      <c r="W378" s="51"/>
    </row>
    <row r="379" spans="2:23" ht="14.25" customHeight="1" x14ac:dyDescent="0.3">
      <c r="B379" s="51"/>
      <c r="I379" s="52"/>
      <c r="J379" s="52"/>
      <c r="K379" s="52"/>
      <c r="L379" s="52"/>
      <c r="U379" s="51"/>
      <c r="V379" s="51"/>
      <c r="W379" s="51"/>
    </row>
    <row r="380" spans="2:23" ht="14.25" customHeight="1" x14ac:dyDescent="0.3">
      <c r="B380" s="51"/>
      <c r="I380" s="52"/>
      <c r="J380" s="52"/>
      <c r="K380" s="52"/>
      <c r="L380" s="52"/>
      <c r="U380" s="51"/>
      <c r="V380" s="51"/>
      <c r="W380" s="51"/>
    </row>
    <row r="381" spans="2:23" ht="14.25" customHeight="1" x14ac:dyDescent="0.3">
      <c r="B381" s="51"/>
      <c r="I381" s="52"/>
      <c r="J381" s="52"/>
      <c r="K381" s="52"/>
      <c r="L381" s="52"/>
      <c r="U381" s="51"/>
      <c r="V381" s="51"/>
      <c r="W381" s="51"/>
    </row>
    <row r="382" spans="2:23" ht="14.25" customHeight="1" x14ac:dyDescent="0.3">
      <c r="B382" s="51"/>
      <c r="I382" s="52"/>
      <c r="J382" s="52"/>
      <c r="K382" s="52"/>
      <c r="L382" s="52"/>
      <c r="U382" s="51"/>
      <c r="V382" s="51"/>
      <c r="W382" s="51"/>
    </row>
    <row r="383" spans="2:23" ht="14.25" customHeight="1" x14ac:dyDescent="0.3">
      <c r="B383" s="51"/>
      <c r="I383" s="52"/>
      <c r="J383" s="52"/>
      <c r="K383" s="52"/>
      <c r="L383" s="52"/>
      <c r="U383" s="51"/>
      <c r="V383" s="51"/>
      <c r="W383" s="51"/>
    </row>
    <row r="384" spans="2:23" ht="14.25" customHeight="1" x14ac:dyDescent="0.3">
      <c r="B384" s="51"/>
      <c r="I384" s="52"/>
      <c r="J384" s="52"/>
      <c r="K384" s="52"/>
      <c r="L384" s="52"/>
      <c r="U384" s="51"/>
      <c r="V384" s="51"/>
      <c r="W384" s="51"/>
    </row>
    <row r="385" spans="2:23" ht="14.25" customHeight="1" x14ac:dyDescent="0.3">
      <c r="B385" s="51"/>
      <c r="I385" s="52"/>
      <c r="J385" s="52"/>
      <c r="K385" s="52"/>
      <c r="L385" s="52"/>
      <c r="U385" s="51"/>
      <c r="V385" s="51"/>
      <c r="W385" s="51"/>
    </row>
    <row r="386" spans="2:23" ht="14.25" customHeight="1" x14ac:dyDescent="0.3">
      <c r="B386" s="51"/>
      <c r="I386" s="52"/>
      <c r="J386" s="52"/>
      <c r="K386" s="52"/>
      <c r="L386" s="52"/>
      <c r="U386" s="51"/>
      <c r="V386" s="51"/>
      <c r="W386" s="51"/>
    </row>
    <row r="387" spans="2:23" ht="14.25" customHeight="1" x14ac:dyDescent="0.3">
      <c r="B387" s="51"/>
      <c r="I387" s="52"/>
      <c r="J387" s="52"/>
      <c r="K387" s="52"/>
      <c r="L387" s="52"/>
      <c r="U387" s="51"/>
      <c r="V387" s="51"/>
      <c r="W387" s="51"/>
    </row>
    <row r="388" spans="2:23" ht="14.25" customHeight="1" x14ac:dyDescent="0.3">
      <c r="B388" s="51"/>
      <c r="I388" s="52"/>
      <c r="J388" s="52"/>
      <c r="K388" s="52"/>
      <c r="L388" s="52"/>
      <c r="U388" s="51"/>
      <c r="V388" s="51"/>
      <c r="W388" s="51"/>
    </row>
    <row r="389" spans="2:23" ht="14.25" customHeight="1" x14ac:dyDescent="0.3">
      <c r="B389" s="51"/>
      <c r="I389" s="52"/>
      <c r="J389" s="52"/>
      <c r="K389" s="52"/>
      <c r="L389" s="52"/>
      <c r="U389" s="51"/>
      <c r="V389" s="51"/>
      <c r="W389" s="51"/>
    </row>
    <row r="390" spans="2:23" ht="14.25" customHeight="1" x14ac:dyDescent="0.3">
      <c r="B390" s="51"/>
      <c r="I390" s="52"/>
      <c r="J390" s="52"/>
      <c r="K390" s="52"/>
      <c r="L390" s="52"/>
      <c r="U390" s="51"/>
      <c r="V390" s="51"/>
      <c r="W390" s="51"/>
    </row>
    <row r="391" spans="2:23" ht="14.25" customHeight="1" x14ac:dyDescent="0.3">
      <c r="B391" s="51"/>
      <c r="I391" s="52"/>
      <c r="J391" s="52"/>
      <c r="K391" s="52"/>
      <c r="L391" s="52"/>
      <c r="U391" s="51"/>
      <c r="V391" s="51"/>
      <c r="W391" s="51"/>
    </row>
    <row r="392" spans="2:23" ht="14.25" customHeight="1" x14ac:dyDescent="0.3">
      <c r="B392" s="51"/>
      <c r="I392" s="52"/>
      <c r="J392" s="52"/>
      <c r="K392" s="52"/>
      <c r="L392" s="52"/>
      <c r="U392" s="51"/>
      <c r="V392" s="51"/>
      <c r="W392" s="51"/>
    </row>
    <row r="393" spans="2:23" ht="14.25" customHeight="1" x14ac:dyDescent="0.3">
      <c r="B393" s="51"/>
      <c r="I393" s="52"/>
      <c r="J393" s="52"/>
      <c r="K393" s="52"/>
      <c r="L393" s="52"/>
      <c r="U393" s="51"/>
      <c r="V393" s="51"/>
      <c r="W393" s="51"/>
    </row>
    <row r="394" spans="2:23" ht="14.25" customHeight="1" x14ac:dyDescent="0.3">
      <c r="B394" s="51"/>
      <c r="I394" s="52"/>
      <c r="J394" s="52"/>
      <c r="K394" s="52"/>
      <c r="L394" s="52"/>
      <c r="U394" s="51"/>
      <c r="V394" s="51"/>
      <c r="W394" s="51"/>
    </row>
    <row r="395" spans="2:23" ht="14.25" customHeight="1" x14ac:dyDescent="0.3">
      <c r="B395" s="51"/>
      <c r="I395" s="52"/>
      <c r="J395" s="52"/>
      <c r="K395" s="52"/>
      <c r="L395" s="52"/>
      <c r="U395" s="51"/>
      <c r="V395" s="51"/>
      <c r="W395" s="51"/>
    </row>
    <row r="396" spans="2:23" ht="14.25" customHeight="1" x14ac:dyDescent="0.3">
      <c r="B396" s="51"/>
      <c r="I396" s="52"/>
      <c r="J396" s="52"/>
      <c r="K396" s="52"/>
      <c r="L396" s="52"/>
      <c r="U396" s="51"/>
      <c r="V396" s="51"/>
      <c r="W396" s="51"/>
    </row>
    <row r="397" spans="2:23" ht="14.25" customHeight="1" x14ac:dyDescent="0.3">
      <c r="B397" s="51"/>
      <c r="I397" s="52"/>
      <c r="J397" s="52"/>
      <c r="K397" s="52"/>
      <c r="L397" s="52"/>
      <c r="U397" s="51"/>
      <c r="V397" s="51"/>
      <c r="W397" s="51"/>
    </row>
    <row r="398" spans="2:23" ht="14.25" customHeight="1" x14ac:dyDescent="0.3">
      <c r="B398" s="51"/>
      <c r="I398" s="52"/>
      <c r="J398" s="52"/>
      <c r="K398" s="52"/>
      <c r="L398" s="52"/>
      <c r="U398" s="51"/>
      <c r="V398" s="51"/>
      <c r="W398" s="51"/>
    </row>
    <row r="399" spans="2:23" ht="14.25" customHeight="1" x14ac:dyDescent="0.3">
      <c r="B399" s="51"/>
      <c r="I399" s="52"/>
      <c r="J399" s="52"/>
      <c r="K399" s="52"/>
      <c r="L399" s="52"/>
      <c r="U399" s="51"/>
      <c r="V399" s="51"/>
      <c r="W399" s="51"/>
    </row>
    <row r="400" spans="2:23" ht="14.25" customHeight="1" x14ac:dyDescent="0.3">
      <c r="B400" s="51"/>
      <c r="I400" s="52"/>
      <c r="J400" s="52"/>
      <c r="K400" s="52"/>
      <c r="L400" s="52"/>
      <c r="U400" s="51"/>
      <c r="V400" s="51"/>
      <c r="W400" s="51"/>
    </row>
    <row r="401" spans="2:23" ht="14.25" customHeight="1" x14ac:dyDescent="0.3">
      <c r="B401" s="51"/>
      <c r="I401" s="52"/>
      <c r="J401" s="52"/>
      <c r="K401" s="52"/>
      <c r="L401" s="52"/>
      <c r="U401" s="51"/>
      <c r="V401" s="51"/>
      <c r="W401" s="51"/>
    </row>
    <row r="402" spans="2:23" ht="14.25" customHeight="1" x14ac:dyDescent="0.3">
      <c r="B402" s="51"/>
      <c r="I402" s="52"/>
      <c r="J402" s="52"/>
      <c r="K402" s="52"/>
      <c r="L402" s="52"/>
      <c r="U402" s="51"/>
      <c r="V402" s="51"/>
      <c r="W402" s="51"/>
    </row>
    <row r="403" spans="2:23" ht="14.25" customHeight="1" x14ac:dyDescent="0.3">
      <c r="B403" s="51"/>
      <c r="I403" s="52"/>
      <c r="J403" s="52"/>
      <c r="K403" s="52"/>
      <c r="L403" s="52"/>
      <c r="U403" s="51"/>
      <c r="V403" s="51"/>
      <c r="W403" s="51"/>
    </row>
    <row r="404" spans="2:23" ht="14.25" customHeight="1" x14ac:dyDescent="0.3">
      <c r="B404" s="51"/>
      <c r="I404" s="52"/>
      <c r="J404" s="52"/>
      <c r="K404" s="52"/>
      <c r="L404" s="52"/>
      <c r="U404" s="51"/>
      <c r="V404" s="51"/>
      <c r="W404" s="51"/>
    </row>
    <row r="405" spans="2:23" ht="14.25" customHeight="1" x14ac:dyDescent="0.3">
      <c r="B405" s="51"/>
      <c r="I405" s="52"/>
      <c r="J405" s="52"/>
      <c r="K405" s="52"/>
      <c r="L405" s="52"/>
      <c r="U405" s="51"/>
      <c r="V405" s="51"/>
      <c r="W405" s="51"/>
    </row>
    <row r="406" spans="2:23" ht="14.25" customHeight="1" x14ac:dyDescent="0.3">
      <c r="B406" s="51"/>
      <c r="I406" s="52"/>
      <c r="J406" s="52"/>
      <c r="K406" s="52"/>
      <c r="L406" s="52"/>
      <c r="U406" s="51"/>
      <c r="V406" s="51"/>
      <c r="W406" s="51"/>
    </row>
    <row r="407" spans="2:23" ht="14.25" customHeight="1" x14ac:dyDescent="0.3">
      <c r="B407" s="51"/>
      <c r="I407" s="52"/>
      <c r="J407" s="52"/>
      <c r="K407" s="52"/>
      <c r="L407" s="52"/>
      <c r="U407" s="51"/>
      <c r="V407" s="51"/>
      <c r="W407" s="51"/>
    </row>
    <row r="408" spans="2:23" ht="14.25" customHeight="1" x14ac:dyDescent="0.3">
      <c r="B408" s="51"/>
      <c r="I408" s="52"/>
      <c r="J408" s="52"/>
      <c r="K408" s="52"/>
      <c r="L408" s="52"/>
      <c r="U408" s="51"/>
      <c r="V408" s="51"/>
      <c r="W408" s="51"/>
    </row>
    <row r="409" spans="2:23" ht="14.25" customHeight="1" x14ac:dyDescent="0.3">
      <c r="B409" s="51"/>
      <c r="I409" s="52"/>
      <c r="J409" s="52"/>
      <c r="K409" s="52"/>
      <c r="L409" s="52"/>
      <c r="U409" s="51"/>
      <c r="V409" s="51"/>
      <c r="W409" s="51"/>
    </row>
    <row r="410" spans="2:23" ht="14.25" customHeight="1" x14ac:dyDescent="0.3">
      <c r="B410" s="51"/>
      <c r="I410" s="52"/>
      <c r="J410" s="52"/>
      <c r="K410" s="52"/>
      <c r="L410" s="52"/>
      <c r="U410" s="51"/>
      <c r="V410" s="51"/>
      <c r="W410" s="51"/>
    </row>
    <row r="411" spans="2:23" ht="14.25" customHeight="1" x14ac:dyDescent="0.3">
      <c r="B411" s="51"/>
      <c r="I411" s="52"/>
      <c r="J411" s="52"/>
      <c r="K411" s="52"/>
      <c r="L411" s="52"/>
      <c r="U411" s="51"/>
      <c r="V411" s="51"/>
      <c r="W411" s="51"/>
    </row>
    <row r="412" spans="2:23" ht="14.25" customHeight="1" x14ac:dyDescent="0.3">
      <c r="B412" s="51"/>
      <c r="I412" s="52"/>
      <c r="J412" s="52"/>
      <c r="K412" s="52"/>
      <c r="L412" s="52"/>
      <c r="U412" s="51"/>
      <c r="V412" s="51"/>
      <c r="W412" s="51"/>
    </row>
    <row r="413" spans="2:23" ht="14.25" customHeight="1" x14ac:dyDescent="0.3">
      <c r="B413" s="51"/>
      <c r="I413" s="52"/>
      <c r="J413" s="52"/>
      <c r="K413" s="52"/>
      <c r="L413" s="52"/>
      <c r="U413" s="51"/>
      <c r="V413" s="51"/>
      <c r="W413" s="51"/>
    </row>
    <row r="414" spans="2:23" ht="14.25" customHeight="1" x14ac:dyDescent="0.3">
      <c r="B414" s="51"/>
      <c r="I414" s="52"/>
      <c r="J414" s="52"/>
      <c r="K414" s="52"/>
      <c r="L414" s="52"/>
      <c r="U414" s="51"/>
      <c r="V414" s="51"/>
      <c r="W414" s="51"/>
    </row>
    <row r="415" spans="2:23" ht="14.25" customHeight="1" x14ac:dyDescent="0.3">
      <c r="B415" s="51"/>
      <c r="I415" s="52"/>
      <c r="J415" s="52"/>
      <c r="K415" s="52"/>
      <c r="L415" s="52"/>
      <c r="U415" s="51"/>
      <c r="V415" s="51"/>
      <c r="W415" s="51"/>
    </row>
    <row r="416" spans="2:23" ht="14.25" customHeight="1" x14ac:dyDescent="0.3">
      <c r="B416" s="51"/>
      <c r="I416" s="52"/>
      <c r="J416" s="52"/>
      <c r="K416" s="52"/>
      <c r="L416" s="52"/>
      <c r="U416" s="51"/>
      <c r="V416" s="51"/>
      <c r="W416" s="51"/>
    </row>
    <row r="417" spans="2:23" ht="14.25" customHeight="1" x14ac:dyDescent="0.3">
      <c r="B417" s="51"/>
      <c r="I417" s="52"/>
      <c r="J417" s="52"/>
      <c r="K417" s="52"/>
      <c r="L417" s="52"/>
      <c r="U417" s="51"/>
      <c r="V417" s="51"/>
      <c r="W417" s="51"/>
    </row>
    <row r="418" spans="2:23" ht="14.25" customHeight="1" x14ac:dyDescent="0.3">
      <c r="B418" s="51"/>
      <c r="I418" s="52"/>
      <c r="J418" s="52"/>
      <c r="K418" s="52"/>
      <c r="L418" s="52"/>
      <c r="U418" s="51"/>
      <c r="V418" s="51"/>
      <c r="W418" s="51"/>
    </row>
    <row r="419" spans="2:23" ht="14.25" customHeight="1" x14ac:dyDescent="0.3">
      <c r="B419" s="51"/>
      <c r="I419" s="52"/>
      <c r="J419" s="52"/>
      <c r="K419" s="52"/>
      <c r="L419" s="52"/>
      <c r="U419" s="51"/>
      <c r="V419" s="51"/>
      <c r="W419" s="51"/>
    </row>
    <row r="420" spans="2:23" ht="14.25" customHeight="1" x14ac:dyDescent="0.3">
      <c r="B420" s="51"/>
      <c r="I420" s="52"/>
      <c r="J420" s="52"/>
      <c r="K420" s="52"/>
      <c r="L420" s="52"/>
      <c r="U420" s="51"/>
      <c r="V420" s="51"/>
      <c r="W420" s="51"/>
    </row>
    <row r="421" spans="2:23" ht="14.25" customHeight="1" x14ac:dyDescent="0.3">
      <c r="B421" s="51"/>
      <c r="I421" s="52"/>
      <c r="J421" s="52"/>
      <c r="K421" s="52"/>
      <c r="L421" s="52"/>
      <c r="U421" s="51"/>
      <c r="V421" s="51"/>
      <c r="W421" s="51"/>
    </row>
    <row r="422" spans="2:23" ht="14.25" customHeight="1" x14ac:dyDescent="0.3">
      <c r="B422" s="51"/>
      <c r="I422" s="52"/>
      <c r="J422" s="52"/>
      <c r="K422" s="52"/>
      <c r="L422" s="52"/>
      <c r="U422" s="51"/>
      <c r="V422" s="51"/>
      <c r="W422" s="51"/>
    </row>
    <row r="423" spans="2:23" ht="14.25" customHeight="1" x14ac:dyDescent="0.3">
      <c r="B423" s="51"/>
      <c r="I423" s="52"/>
      <c r="J423" s="52"/>
      <c r="K423" s="52"/>
      <c r="L423" s="52"/>
      <c r="U423" s="51"/>
      <c r="V423" s="51"/>
      <c r="W423" s="51"/>
    </row>
    <row r="424" spans="2:23" ht="14.25" customHeight="1" x14ac:dyDescent="0.3">
      <c r="B424" s="51"/>
      <c r="I424" s="52"/>
      <c r="J424" s="52"/>
      <c r="K424" s="52"/>
      <c r="L424" s="52"/>
      <c r="U424" s="51"/>
      <c r="V424" s="51"/>
      <c r="W424" s="51"/>
    </row>
    <row r="425" spans="2:23" ht="14.25" customHeight="1" x14ac:dyDescent="0.3">
      <c r="B425" s="51"/>
      <c r="I425" s="52"/>
      <c r="J425" s="52"/>
      <c r="K425" s="52"/>
      <c r="L425" s="52"/>
      <c r="U425" s="51"/>
      <c r="V425" s="51"/>
      <c r="W425" s="51"/>
    </row>
    <row r="426" spans="2:23" ht="14.25" customHeight="1" x14ac:dyDescent="0.3">
      <c r="B426" s="51"/>
      <c r="I426" s="52"/>
      <c r="J426" s="52"/>
      <c r="K426" s="52"/>
      <c r="L426" s="52"/>
      <c r="U426" s="51"/>
      <c r="V426" s="51"/>
      <c r="W426" s="51"/>
    </row>
    <row r="427" spans="2:23" ht="14.25" customHeight="1" x14ac:dyDescent="0.3">
      <c r="B427" s="51"/>
      <c r="I427" s="52"/>
      <c r="J427" s="52"/>
      <c r="K427" s="52"/>
      <c r="L427" s="52"/>
      <c r="U427" s="51"/>
      <c r="V427" s="51"/>
      <c r="W427" s="51"/>
    </row>
    <row r="428" spans="2:23" ht="14.25" customHeight="1" x14ac:dyDescent="0.3">
      <c r="B428" s="51"/>
      <c r="I428" s="52"/>
      <c r="J428" s="52"/>
      <c r="K428" s="52"/>
      <c r="L428" s="52"/>
      <c r="U428" s="51"/>
      <c r="V428" s="51"/>
      <c r="W428" s="51"/>
    </row>
    <row r="429" spans="2:23" ht="14.25" customHeight="1" x14ac:dyDescent="0.3">
      <c r="B429" s="51"/>
      <c r="I429" s="52"/>
      <c r="J429" s="52"/>
      <c r="K429" s="52"/>
      <c r="L429" s="52"/>
      <c r="U429" s="51"/>
      <c r="V429" s="51"/>
      <c r="W429" s="51"/>
    </row>
    <row r="430" spans="2:23" ht="14.25" customHeight="1" x14ac:dyDescent="0.3">
      <c r="B430" s="51"/>
      <c r="I430" s="52"/>
      <c r="J430" s="52"/>
      <c r="K430" s="52"/>
      <c r="L430" s="52"/>
      <c r="U430" s="51"/>
      <c r="V430" s="51"/>
      <c r="W430" s="51"/>
    </row>
    <row r="431" spans="2:23" ht="14.25" customHeight="1" x14ac:dyDescent="0.3">
      <c r="B431" s="51"/>
      <c r="I431" s="52"/>
      <c r="J431" s="52"/>
      <c r="K431" s="52"/>
      <c r="L431" s="52"/>
      <c r="U431" s="51"/>
      <c r="V431" s="51"/>
      <c r="W431" s="51"/>
    </row>
    <row r="432" spans="2:23" ht="14.25" customHeight="1" x14ac:dyDescent="0.3">
      <c r="B432" s="51"/>
      <c r="I432" s="52"/>
      <c r="J432" s="52"/>
      <c r="K432" s="52"/>
      <c r="L432" s="52"/>
      <c r="U432" s="51"/>
      <c r="V432" s="51"/>
      <c r="W432" s="51"/>
    </row>
    <row r="433" spans="2:23" ht="14.25" customHeight="1" x14ac:dyDescent="0.3">
      <c r="B433" s="51"/>
      <c r="I433" s="52"/>
      <c r="J433" s="52"/>
      <c r="K433" s="52"/>
      <c r="L433" s="52"/>
      <c r="U433" s="51"/>
      <c r="V433" s="51"/>
      <c r="W433" s="51"/>
    </row>
    <row r="434" spans="2:23" ht="14.25" customHeight="1" x14ac:dyDescent="0.3">
      <c r="B434" s="51"/>
      <c r="I434" s="52"/>
      <c r="J434" s="52"/>
      <c r="K434" s="52"/>
      <c r="L434" s="52"/>
      <c r="U434" s="51"/>
      <c r="V434" s="51"/>
      <c r="W434" s="51"/>
    </row>
    <row r="435" spans="2:23" ht="14.25" customHeight="1" x14ac:dyDescent="0.3">
      <c r="B435" s="51"/>
      <c r="I435" s="52"/>
      <c r="J435" s="52"/>
      <c r="K435" s="52"/>
      <c r="L435" s="52"/>
      <c r="U435" s="51"/>
      <c r="V435" s="51"/>
      <c r="W435" s="51"/>
    </row>
    <row r="436" spans="2:23" ht="14.25" customHeight="1" x14ac:dyDescent="0.3">
      <c r="B436" s="51"/>
      <c r="I436" s="52"/>
      <c r="J436" s="52"/>
      <c r="K436" s="52"/>
      <c r="L436" s="52"/>
      <c r="U436" s="51"/>
      <c r="V436" s="51"/>
      <c r="W436" s="51"/>
    </row>
    <row r="437" spans="2:23" ht="14.25" customHeight="1" x14ac:dyDescent="0.3">
      <c r="B437" s="51"/>
      <c r="I437" s="52"/>
      <c r="J437" s="52"/>
      <c r="K437" s="52"/>
      <c r="L437" s="52"/>
      <c r="U437" s="51"/>
      <c r="V437" s="51"/>
      <c r="W437" s="51"/>
    </row>
    <row r="438" spans="2:23" ht="14.25" customHeight="1" x14ac:dyDescent="0.3">
      <c r="B438" s="51"/>
      <c r="I438" s="52"/>
      <c r="J438" s="52"/>
      <c r="K438" s="52"/>
      <c r="L438" s="52"/>
      <c r="U438" s="51"/>
      <c r="V438" s="51"/>
      <c r="W438" s="51"/>
    </row>
    <row r="439" spans="2:23" ht="14.25" customHeight="1" x14ac:dyDescent="0.3">
      <c r="B439" s="51"/>
      <c r="I439" s="52"/>
      <c r="J439" s="52"/>
      <c r="K439" s="52"/>
      <c r="L439" s="52"/>
      <c r="U439" s="51"/>
      <c r="V439" s="51"/>
      <c r="W439" s="51"/>
    </row>
    <row r="440" spans="2:23" ht="14.25" customHeight="1" x14ac:dyDescent="0.3">
      <c r="B440" s="51"/>
      <c r="I440" s="52"/>
      <c r="J440" s="52"/>
      <c r="K440" s="52"/>
      <c r="L440" s="52"/>
      <c r="U440" s="51"/>
      <c r="V440" s="51"/>
      <c r="W440" s="51"/>
    </row>
    <row r="441" spans="2:23" ht="14.25" customHeight="1" x14ac:dyDescent="0.3">
      <c r="B441" s="51"/>
      <c r="I441" s="52"/>
      <c r="J441" s="52"/>
      <c r="K441" s="52"/>
      <c r="L441" s="52"/>
      <c r="U441" s="51"/>
      <c r="V441" s="51"/>
      <c r="W441" s="51"/>
    </row>
    <row r="442" spans="2:23" ht="14.25" customHeight="1" x14ac:dyDescent="0.3">
      <c r="B442" s="51"/>
      <c r="I442" s="52"/>
      <c r="J442" s="52"/>
      <c r="K442" s="52"/>
      <c r="L442" s="52"/>
      <c r="U442" s="51"/>
      <c r="V442" s="51"/>
      <c r="W442" s="51"/>
    </row>
    <row r="443" spans="2:23" ht="14.25" customHeight="1" x14ac:dyDescent="0.3">
      <c r="B443" s="51"/>
      <c r="I443" s="52"/>
      <c r="J443" s="52"/>
      <c r="K443" s="52"/>
      <c r="L443" s="52"/>
      <c r="U443" s="51"/>
      <c r="V443" s="51"/>
      <c r="W443" s="51"/>
    </row>
    <row r="444" spans="2:23" ht="14.25" customHeight="1" x14ac:dyDescent="0.3">
      <c r="B444" s="51"/>
      <c r="I444" s="52"/>
      <c r="J444" s="52"/>
      <c r="K444" s="52"/>
      <c r="L444" s="52"/>
      <c r="U444" s="51"/>
      <c r="V444" s="51"/>
      <c r="W444" s="51"/>
    </row>
    <row r="445" spans="2:23" ht="14.25" customHeight="1" x14ac:dyDescent="0.3">
      <c r="B445" s="51"/>
      <c r="I445" s="52"/>
      <c r="J445" s="52"/>
      <c r="K445" s="52"/>
      <c r="L445" s="52"/>
      <c r="U445" s="51"/>
      <c r="V445" s="51"/>
      <c r="W445" s="51"/>
    </row>
    <row r="446" spans="2:23" ht="14.25" customHeight="1" x14ac:dyDescent="0.3">
      <c r="B446" s="51"/>
      <c r="I446" s="52"/>
      <c r="J446" s="52"/>
      <c r="K446" s="52"/>
      <c r="L446" s="52"/>
      <c r="U446" s="51"/>
      <c r="V446" s="51"/>
      <c r="W446" s="51"/>
    </row>
    <row r="447" spans="2:23" ht="14.25" customHeight="1" x14ac:dyDescent="0.3">
      <c r="B447" s="51"/>
      <c r="I447" s="52"/>
      <c r="J447" s="52"/>
      <c r="K447" s="52"/>
      <c r="L447" s="52"/>
      <c r="U447" s="51"/>
      <c r="V447" s="51"/>
      <c r="W447" s="51"/>
    </row>
    <row r="448" spans="2:23" ht="14.25" customHeight="1" x14ac:dyDescent="0.3">
      <c r="B448" s="51"/>
      <c r="I448" s="52"/>
      <c r="J448" s="52"/>
      <c r="K448" s="52"/>
      <c r="L448" s="52"/>
      <c r="U448" s="51"/>
      <c r="V448" s="51"/>
      <c r="W448" s="51"/>
    </row>
    <row r="449" spans="2:23" ht="14.25" customHeight="1" x14ac:dyDescent="0.3">
      <c r="B449" s="51"/>
      <c r="I449" s="52"/>
      <c r="J449" s="52"/>
      <c r="K449" s="52"/>
      <c r="L449" s="52"/>
      <c r="U449" s="51"/>
      <c r="V449" s="51"/>
      <c r="W449" s="51"/>
    </row>
    <row r="450" spans="2:23" ht="14.25" customHeight="1" x14ac:dyDescent="0.3">
      <c r="B450" s="51"/>
      <c r="I450" s="52"/>
      <c r="J450" s="52"/>
      <c r="K450" s="52"/>
      <c r="L450" s="52"/>
      <c r="U450" s="51"/>
      <c r="V450" s="51"/>
      <c r="W450" s="51"/>
    </row>
    <row r="451" spans="2:23" ht="14.25" customHeight="1" x14ac:dyDescent="0.3">
      <c r="B451" s="51"/>
      <c r="I451" s="52"/>
      <c r="J451" s="52"/>
      <c r="K451" s="52"/>
      <c r="L451" s="52"/>
      <c r="U451" s="51"/>
      <c r="V451" s="51"/>
      <c r="W451" s="51"/>
    </row>
    <row r="452" spans="2:23" ht="14.25" customHeight="1" x14ac:dyDescent="0.3">
      <c r="B452" s="51"/>
      <c r="I452" s="52"/>
      <c r="J452" s="52"/>
      <c r="K452" s="52"/>
      <c r="L452" s="52"/>
      <c r="U452" s="51"/>
      <c r="V452" s="51"/>
      <c r="W452" s="51"/>
    </row>
    <row r="453" spans="2:23" ht="14.25" customHeight="1" x14ac:dyDescent="0.3">
      <c r="B453" s="51"/>
      <c r="I453" s="52"/>
      <c r="J453" s="52"/>
      <c r="K453" s="52"/>
      <c r="L453" s="52"/>
      <c r="U453" s="51"/>
      <c r="V453" s="51"/>
      <c r="W453" s="51"/>
    </row>
    <row r="454" spans="2:23" ht="14.25" customHeight="1" x14ac:dyDescent="0.3">
      <c r="B454" s="51"/>
      <c r="I454" s="52"/>
      <c r="J454" s="52"/>
      <c r="K454" s="52"/>
      <c r="L454" s="52"/>
      <c r="U454" s="51"/>
      <c r="V454" s="51"/>
      <c r="W454" s="51"/>
    </row>
    <row r="455" spans="2:23" ht="14.25" customHeight="1" x14ac:dyDescent="0.3">
      <c r="B455" s="51"/>
      <c r="I455" s="52"/>
      <c r="J455" s="52"/>
      <c r="K455" s="52"/>
      <c r="L455" s="52"/>
      <c r="U455" s="51"/>
      <c r="V455" s="51"/>
      <c r="W455" s="51"/>
    </row>
    <row r="456" spans="2:23" ht="14.25" customHeight="1" x14ac:dyDescent="0.3">
      <c r="B456" s="51"/>
      <c r="I456" s="52"/>
      <c r="J456" s="52"/>
      <c r="K456" s="52"/>
      <c r="L456" s="52"/>
      <c r="U456" s="51"/>
      <c r="V456" s="51"/>
      <c r="W456" s="51"/>
    </row>
    <row r="457" spans="2:23" ht="14.25" customHeight="1" x14ac:dyDescent="0.3">
      <c r="B457" s="51"/>
      <c r="I457" s="52"/>
      <c r="J457" s="52"/>
      <c r="K457" s="52"/>
      <c r="L457" s="52"/>
      <c r="U457" s="51"/>
      <c r="V457" s="51"/>
      <c r="W457" s="51"/>
    </row>
    <row r="458" spans="2:23" ht="14.25" customHeight="1" x14ac:dyDescent="0.3">
      <c r="B458" s="51"/>
      <c r="I458" s="52"/>
      <c r="J458" s="52"/>
      <c r="K458" s="52"/>
      <c r="L458" s="52"/>
      <c r="U458" s="51"/>
      <c r="V458" s="51"/>
      <c r="W458" s="51"/>
    </row>
    <row r="459" spans="2:23" ht="14.25" customHeight="1" x14ac:dyDescent="0.3">
      <c r="B459" s="51"/>
      <c r="I459" s="52"/>
      <c r="J459" s="52"/>
      <c r="K459" s="52"/>
      <c r="L459" s="52"/>
      <c r="U459" s="51"/>
      <c r="V459" s="51"/>
      <c r="W459" s="51"/>
    </row>
    <row r="460" spans="2:23" ht="14.25" customHeight="1" x14ac:dyDescent="0.3">
      <c r="B460" s="51"/>
      <c r="I460" s="52"/>
      <c r="J460" s="52"/>
      <c r="K460" s="52"/>
      <c r="L460" s="52"/>
      <c r="U460" s="51"/>
      <c r="V460" s="51"/>
      <c r="W460" s="51"/>
    </row>
    <row r="461" spans="2:23" ht="14.25" customHeight="1" x14ac:dyDescent="0.3">
      <c r="B461" s="51"/>
      <c r="I461" s="52"/>
      <c r="J461" s="52"/>
      <c r="K461" s="52"/>
      <c r="L461" s="52"/>
      <c r="U461" s="51"/>
      <c r="V461" s="51"/>
      <c r="W461" s="51"/>
    </row>
    <row r="462" spans="2:23" ht="14.25" customHeight="1" x14ac:dyDescent="0.3">
      <c r="B462" s="51"/>
      <c r="I462" s="52"/>
      <c r="J462" s="52"/>
      <c r="K462" s="52"/>
      <c r="L462" s="52"/>
      <c r="U462" s="51"/>
      <c r="V462" s="51"/>
      <c r="W462" s="51"/>
    </row>
    <row r="463" spans="2:23" ht="14.25" customHeight="1" x14ac:dyDescent="0.3">
      <c r="B463" s="51"/>
      <c r="I463" s="52"/>
      <c r="J463" s="52"/>
      <c r="K463" s="52"/>
      <c r="L463" s="52"/>
      <c r="U463" s="51"/>
      <c r="V463" s="51"/>
      <c r="W463" s="51"/>
    </row>
    <row r="464" spans="2:23" ht="14.25" customHeight="1" x14ac:dyDescent="0.3">
      <c r="B464" s="51"/>
      <c r="I464" s="52"/>
      <c r="J464" s="52"/>
      <c r="K464" s="52"/>
      <c r="L464" s="52"/>
      <c r="U464" s="51"/>
      <c r="V464" s="51"/>
      <c r="W464" s="51"/>
    </row>
    <row r="465" spans="2:23" ht="14.25" customHeight="1" x14ac:dyDescent="0.3">
      <c r="B465" s="51"/>
      <c r="I465" s="52"/>
      <c r="J465" s="52"/>
      <c r="K465" s="52"/>
      <c r="L465" s="52"/>
      <c r="U465" s="51"/>
      <c r="V465" s="51"/>
      <c r="W465" s="51"/>
    </row>
    <row r="466" spans="2:23" ht="14.25" customHeight="1" x14ac:dyDescent="0.3">
      <c r="B466" s="51"/>
      <c r="I466" s="52"/>
      <c r="J466" s="52"/>
      <c r="K466" s="52"/>
      <c r="L466" s="52"/>
      <c r="U466" s="51"/>
      <c r="V466" s="51"/>
      <c r="W466" s="51"/>
    </row>
    <row r="467" spans="2:23" ht="14.25" customHeight="1" x14ac:dyDescent="0.3">
      <c r="B467" s="51"/>
      <c r="I467" s="52"/>
      <c r="J467" s="52"/>
      <c r="K467" s="52"/>
      <c r="L467" s="52"/>
      <c r="U467" s="51"/>
      <c r="V467" s="51"/>
      <c r="W467" s="51"/>
    </row>
    <row r="468" spans="2:23" ht="14.25" customHeight="1" x14ac:dyDescent="0.3">
      <c r="B468" s="51"/>
      <c r="I468" s="52"/>
      <c r="J468" s="52"/>
      <c r="K468" s="52"/>
      <c r="L468" s="52"/>
      <c r="U468" s="51"/>
      <c r="V468" s="51"/>
      <c r="W468" s="51"/>
    </row>
    <row r="469" spans="2:23" ht="14.25" customHeight="1" x14ac:dyDescent="0.3">
      <c r="B469" s="51"/>
      <c r="I469" s="52"/>
      <c r="J469" s="52"/>
      <c r="K469" s="52"/>
      <c r="L469" s="52"/>
      <c r="U469" s="51"/>
      <c r="V469" s="51"/>
      <c r="W469" s="51"/>
    </row>
    <row r="470" spans="2:23" ht="14.25" customHeight="1" x14ac:dyDescent="0.3">
      <c r="B470" s="51"/>
      <c r="I470" s="52"/>
      <c r="J470" s="52"/>
      <c r="K470" s="52"/>
      <c r="L470" s="52"/>
      <c r="U470" s="51"/>
      <c r="V470" s="51"/>
      <c r="W470" s="51"/>
    </row>
    <row r="471" spans="2:23" ht="14.25" customHeight="1" x14ac:dyDescent="0.3">
      <c r="B471" s="51"/>
      <c r="I471" s="52"/>
      <c r="J471" s="52"/>
      <c r="K471" s="52"/>
      <c r="L471" s="52"/>
      <c r="U471" s="51"/>
      <c r="V471" s="51"/>
      <c r="W471" s="51"/>
    </row>
    <row r="472" spans="2:23" ht="14.25" customHeight="1" x14ac:dyDescent="0.3">
      <c r="B472" s="51"/>
      <c r="I472" s="52"/>
      <c r="J472" s="52"/>
      <c r="K472" s="52"/>
      <c r="L472" s="52"/>
      <c r="U472" s="51"/>
      <c r="V472" s="51"/>
      <c r="W472" s="51"/>
    </row>
    <row r="473" spans="2:23" ht="14.25" customHeight="1" x14ac:dyDescent="0.3">
      <c r="B473" s="51"/>
      <c r="I473" s="52"/>
      <c r="J473" s="52"/>
      <c r="K473" s="52"/>
      <c r="L473" s="52"/>
      <c r="U473" s="51"/>
      <c r="V473" s="51"/>
      <c r="W473" s="51"/>
    </row>
    <row r="474" spans="2:23" ht="14.25" customHeight="1" x14ac:dyDescent="0.3">
      <c r="B474" s="51"/>
      <c r="I474" s="52"/>
      <c r="J474" s="52"/>
      <c r="K474" s="52"/>
      <c r="L474" s="52"/>
      <c r="U474" s="51"/>
      <c r="V474" s="51"/>
      <c r="W474" s="51"/>
    </row>
    <row r="475" spans="2:23" ht="14.25" customHeight="1" x14ac:dyDescent="0.3">
      <c r="B475" s="51"/>
      <c r="I475" s="52"/>
      <c r="J475" s="52"/>
      <c r="K475" s="52"/>
      <c r="L475" s="52"/>
      <c r="U475" s="51"/>
      <c r="V475" s="51"/>
      <c r="W475" s="51"/>
    </row>
    <row r="476" spans="2:23" ht="14.25" customHeight="1" x14ac:dyDescent="0.3">
      <c r="B476" s="51"/>
      <c r="I476" s="52"/>
      <c r="J476" s="52"/>
      <c r="K476" s="52"/>
      <c r="L476" s="52"/>
      <c r="U476" s="51"/>
      <c r="V476" s="51"/>
      <c r="W476" s="51"/>
    </row>
    <row r="477" spans="2:23" ht="14.25" customHeight="1" x14ac:dyDescent="0.3">
      <c r="B477" s="51"/>
      <c r="I477" s="52"/>
      <c r="J477" s="52"/>
      <c r="K477" s="52"/>
      <c r="L477" s="52"/>
      <c r="U477" s="51"/>
      <c r="V477" s="51"/>
      <c r="W477" s="51"/>
    </row>
    <row r="478" spans="2:23" ht="14.25" customHeight="1" x14ac:dyDescent="0.3">
      <c r="B478" s="51"/>
      <c r="I478" s="52"/>
      <c r="J478" s="52"/>
      <c r="K478" s="52"/>
      <c r="L478" s="52"/>
      <c r="U478" s="51"/>
      <c r="V478" s="51"/>
      <c r="W478" s="51"/>
    </row>
    <row r="479" spans="2:23" ht="14.25" customHeight="1" x14ac:dyDescent="0.3">
      <c r="B479" s="51"/>
      <c r="I479" s="52"/>
      <c r="J479" s="52"/>
      <c r="K479" s="52"/>
      <c r="L479" s="52"/>
      <c r="U479" s="51"/>
      <c r="V479" s="51"/>
      <c r="W479" s="51"/>
    </row>
    <row r="480" spans="2:23" ht="14.25" customHeight="1" x14ac:dyDescent="0.3">
      <c r="B480" s="51"/>
      <c r="I480" s="52"/>
      <c r="J480" s="52"/>
      <c r="K480" s="52"/>
      <c r="L480" s="52"/>
      <c r="U480" s="51"/>
      <c r="V480" s="51"/>
      <c r="W480" s="51"/>
    </row>
    <row r="481" spans="2:23" ht="14.25" customHeight="1" x14ac:dyDescent="0.3">
      <c r="B481" s="51"/>
      <c r="I481" s="52"/>
      <c r="J481" s="52"/>
      <c r="K481" s="52"/>
      <c r="L481" s="52"/>
      <c r="U481" s="51"/>
      <c r="V481" s="51"/>
      <c r="W481" s="51"/>
    </row>
    <row r="482" spans="2:23" ht="14.25" customHeight="1" x14ac:dyDescent="0.3">
      <c r="B482" s="51"/>
      <c r="I482" s="52"/>
      <c r="J482" s="52"/>
      <c r="K482" s="52"/>
      <c r="L482" s="52"/>
      <c r="U482" s="51"/>
      <c r="V482" s="51"/>
      <c r="W482" s="51"/>
    </row>
    <row r="483" spans="2:23" ht="14.25" customHeight="1" x14ac:dyDescent="0.3">
      <c r="B483" s="51"/>
      <c r="I483" s="52"/>
      <c r="J483" s="52"/>
      <c r="K483" s="52"/>
      <c r="L483" s="52"/>
      <c r="U483" s="51"/>
      <c r="V483" s="51"/>
      <c r="W483" s="51"/>
    </row>
    <row r="484" spans="2:23" ht="14.25" customHeight="1" x14ac:dyDescent="0.3">
      <c r="B484" s="51"/>
      <c r="I484" s="52"/>
      <c r="J484" s="52"/>
      <c r="K484" s="52"/>
      <c r="L484" s="52"/>
      <c r="U484" s="51"/>
      <c r="V484" s="51"/>
      <c r="W484" s="51"/>
    </row>
    <row r="485" spans="2:23" ht="14.25" customHeight="1" x14ac:dyDescent="0.3">
      <c r="B485" s="51"/>
      <c r="I485" s="52"/>
      <c r="J485" s="52"/>
      <c r="K485" s="52"/>
      <c r="L485" s="52"/>
      <c r="U485" s="51"/>
      <c r="V485" s="51"/>
      <c r="W485" s="51"/>
    </row>
    <row r="486" spans="2:23" ht="14.25" customHeight="1" x14ac:dyDescent="0.3">
      <c r="B486" s="51"/>
      <c r="I486" s="52"/>
      <c r="J486" s="52"/>
      <c r="K486" s="52"/>
      <c r="L486" s="52"/>
      <c r="U486" s="51"/>
      <c r="V486" s="51"/>
      <c r="W486" s="51"/>
    </row>
    <row r="487" spans="2:23" ht="14.25" customHeight="1" x14ac:dyDescent="0.3">
      <c r="B487" s="51"/>
      <c r="I487" s="52"/>
      <c r="J487" s="52"/>
      <c r="K487" s="52"/>
      <c r="L487" s="52"/>
      <c r="U487" s="51"/>
      <c r="V487" s="51"/>
      <c r="W487" s="51"/>
    </row>
    <row r="488" spans="2:23" ht="14.25" customHeight="1" x14ac:dyDescent="0.3">
      <c r="B488" s="51"/>
      <c r="I488" s="52"/>
      <c r="J488" s="52"/>
      <c r="K488" s="52"/>
      <c r="L488" s="52"/>
      <c r="U488" s="51"/>
      <c r="V488" s="51"/>
      <c r="W488" s="51"/>
    </row>
    <row r="489" spans="2:23" ht="14.25" customHeight="1" x14ac:dyDescent="0.3">
      <c r="B489" s="51"/>
      <c r="I489" s="52"/>
      <c r="J489" s="52"/>
      <c r="K489" s="52"/>
      <c r="L489" s="52"/>
      <c r="U489" s="51"/>
      <c r="V489" s="51"/>
      <c r="W489" s="51"/>
    </row>
    <row r="490" spans="2:23" ht="14.25" customHeight="1" x14ac:dyDescent="0.3">
      <c r="B490" s="51"/>
      <c r="I490" s="52"/>
      <c r="J490" s="52"/>
      <c r="K490" s="52"/>
      <c r="L490" s="52"/>
      <c r="U490" s="51"/>
      <c r="V490" s="51"/>
      <c r="W490" s="51"/>
    </row>
    <row r="491" spans="2:23" ht="14.25" customHeight="1" x14ac:dyDescent="0.3">
      <c r="B491" s="51"/>
      <c r="I491" s="52"/>
      <c r="J491" s="52"/>
      <c r="K491" s="52"/>
      <c r="L491" s="52"/>
      <c r="U491" s="51"/>
      <c r="V491" s="51"/>
      <c r="W491" s="51"/>
    </row>
    <row r="492" spans="2:23" ht="14.25" customHeight="1" x14ac:dyDescent="0.3">
      <c r="B492" s="51"/>
      <c r="I492" s="52"/>
      <c r="J492" s="52"/>
      <c r="K492" s="52"/>
      <c r="L492" s="52"/>
      <c r="U492" s="51"/>
      <c r="V492" s="51"/>
      <c r="W492" s="51"/>
    </row>
    <row r="493" spans="2:23" ht="14.25" customHeight="1" x14ac:dyDescent="0.3">
      <c r="B493" s="51"/>
      <c r="I493" s="52"/>
      <c r="J493" s="52"/>
      <c r="K493" s="52"/>
      <c r="L493" s="52"/>
      <c r="U493" s="51"/>
      <c r="V493" s="51"/>
      <c r="W493" s="51"/>
    </row>
    <row r="494" spans="2:23" ht="14.25" customHeight="1" x14ac:dyDescent="0.3">
      <c r="B494" s="51"/>
      <c r="I494" s="52"/>
      <c r="J494" s="52"/>
      <c r="K494" s="52"/>
      <c r="L494" s="52"/>
      <c r="U494" s="51"/>
      <c r="V494" s="51"/>
      <c r="W494" s="51"/>
    </row>
    <row r="495" spans="2:23" ht="14.25" customHeight="1" x14ac:dyDescent="0.3">
      <c r="B495" s="51"/>
      <c r="I495" s="52"/>
      <c r="J495" s="52"/>
      <c r="K495" s="52"/>
      <c r="L495" s="52"/>
      <c r="U495" s="51"/>
      <c r="V495" s="51"/>
      <c r="W495" s="51"/>
    </row>
    <row r="496" spans="2:23" ht="14.25" customHeight="1" x14ac:dyDescent="0.3">
      <c r="B496" s="51"/>
      <c r="I496" s="52"/>
      <c r="J496" s="52"/>
      <c r="K496" s="52"/>
      <c r="L496" s="52"/>
      <c r="U496" s="51"/>
      <c r="V496" s="51"/>
      <c r="W496" s="51"/>
    </row>
    <row r="497" spans="2:23" ht="14.25" customHeight="1" x14ac:dyDescent="0.3">
      <c r="B497" s="51"/>
      <c r="I497" s="52"/>
      <c r="J497" s="52"/>
      <c r="K497" s="52"/>
      <c r="L497" s="52"/>
      <c r="U497" s="51"/>
      <c r="V497" s="51"/>
      <c r="W497" s="51"/>
    </row>
    <row r="498" spans="2:23" ht="14.25" customHeight="1" x14ac:dyDescent="0.3">
      <c r="B498" s="51"/>
      <c r="I498" s="52"/>
      <c r="J498" s="52"/>
      <c r="K498" s="52"/>
      <c r="L498" s="52"/>
      <c r="U498" s="51"/>
      <c r="V498" s="51"/>
      <c r="W498" s="51"/>
    </row>
    <row r="499" spans="2:23" ht="14.25" customHeight="1" x14ac:dyDescent="0.3">
      <c r="B499" s="51"/>
      <c r="I499" s="52"/>
      <c r="J499" s="52"/>
      <c r="K499" s="52"/>
      <c r="L499" s="52"/>
      <c r="U499" s="51"/>
      <c r="V499" s="51"/>
      <c r="W499" s="51"/>
    </row>
    <row r="500" spans="2:23" ht="14.25" customHeight="1" x14ac:dyDescent="0.3">
      <c r="B500" s="51"/>
      <c r="I500" s="52"/>
      <c r="J500" s="52"/>
      <c r="K500" s="52"/>
      <c r="L500" s="52"/>
      <c r="U500" s="51"/>
      <c r="V500" s="51"/>
      <c r="W500" s="51"/>
    </row>
    <row r="501" spans="2:23" ht="14.25" customHeight="1" x14ac:dyDescent="0.3">
      <c r="B501" s="51"/>
      <c r="I501" s="52"/>
      <c r="J501" s="52"/>
      <c r="K501" s="52"/>
      <c r="L501" s="52"/>
      <c r="U501" s="51"/>
      <c r="V501" s="51"/>
      <c r="W501" s="51"/>
    </row>
    <row r="502" spans="2:23" ht="14.25" customHeight="1" x14ac:dyDescent="0.3">
      <c r="B502" s="51"/>
      <c r="I502" s="52"/>
      <c r="J502" s="52"/>
      <c r="K502" s="52"/>
      <c r="L502" s="52"/>
      <c r="U502" s="51"/>
      <c r="V502" s="51"/>
      <c r="W502" s="51"/>
    </row>
    <row r="503" spans="2:23" ht="14.25" customHeight="1" x14ac:dyDescent="0.3">
      <c r="B503" s="51"/>
      <c r="I503" s="52"/>
      <c r="J503" s="52"/>
      <c r="K503" s="52"/>
      <c r="L503" s="52"/>
      <c r="U503" s="51"/>
      <c r="V503" s="51"/>
      <c r="W503" s="51"/>
    </row>
    <row r="504" spans="2:23" ht="14.25" customHeight="1" x14ac:dyDescent="0.3">
      <c r="B504" s="51"/>
      <c r="I504" s="52"/>
      <c r="J504" s="52"/>
      <c r="K504" s="52"/>
      <c r="L504" s="52"/>
      <c r="U504" s="51"/>
      <c r="V504" s="51"/>
      <c r="W504" s="51"/>
    </row>
    <row r="505" spans="2:23" ht="14.25" customHeight="1" x14ac:dyDescent="0.3">
      <c r="B505" s="51"/>
      <c r="I505" s="52"/>
      <c r="J505" s="52"/>
      <c r="K505" s="52"/>
      <c r="L505" s="52"/>
      <c r="U505" s="51"/>
      <c r="V505" s="51"/>
      <c r="W505" s="51"/>
    </row>
    <row r="506" spans="2:23" ht="14.25" customHeight="1" x14ac:dyDescent="0.3">
      <c r="B506" s="51"/>
      <c r="I506" s="52"/>
      <c r="J506" s="52"/>
      <c r="K506" s="52"/>
      <c r="L506" s="52"/>
      <c r="U506" s="51"/>
      <c r="V506" s="51"/>
      <c r="W506" s="51"/>
    </row>
    <row r="507" spans="2:23" ht="14.25" customHeight="1" x14ac:dyDescent="0.3">
      <c r="B507" s="51"/>
      <c r="I507" s="52"/>
      <c r="J507" s="52"/>
      <c r="K507" s="52"/>
      <c r="L507" s="52"/>
      <c r="U507" s="51"/>
      <c r="V507" s="51"/>
      <c r="W507" s="51"/>
    </row>
    <row r="508" spans="2:23" ht="14.25" customHeight="1" x14ac:dyDescent="0.3">
      <c r="B508" s="51"/>
      <c r="I508" s="52"/>
      <c r="J508" s="52"/>
      <c r="K508" s="52"/>
      <c r="L508" s="52"/>
      <c r="U508" s="51"/>
      <c r="V508" s="51"/>
      <c r="W508" s="51"/>
    </row>
    <row r="509" spans="2:23" ht="14.25" customHeight="1" x14ac:dyDescent="0.3">
      <c r="B509" s="51"/>
      <c r="I509" s="52"/>
      <c r="J509" s="52"/>
      <c r="K509" s="52"/>
      <c r="L509" s="52"/>
      <c r="U509" s="51"/>
      <c r="V509" s="51"/>
      <c r="W509" s="51"/>
    </row>
    <row r="510" spans="2:23" ht="14.25" customHeight="1" x14ac:dyDescent="0.3">
      <c r="B510" s="51"/>
      <c r="I510" s="52"/>
      <c r="J510" s="52"/>
      <c r="K510" s="52"/>
      <c r="L510" s="52"/>
      <c r="U510" s="51"/>
      <c r="V510" s="51"/>
      <c r="W510" s="51"/>
    </row>
    <row r="511" spans="2:23" ht="14.25" customHeight="1" x14ac:dyDescent="0.3">
      <c r="B511" s="51"/>
      <c r="I511" s="52"/>
      <c r="J511" s="52"/>
      <c r="K511" s="52"/>
      <c r="L511" s="52"/>
      <c r="U511" s="51"/>
      <c r="V511" s="51"/>
      <c r="W511" s="51"/>
    </row>
    <row r="512" spans="2:23" ht="14.25" customHeight="1" x14ac:dyDescent="0.3">
      <c r="B512" s="51"/>
      <c r="I512" s="52"/>
      <c r="J512" s="52"/>
      <c r="K512" s="52"/>
      <c r="L512" s="52"/>
      <c r="U512" s="51"/>
      <c r="V512" s="51"/>
      <c r="W512" s="51"/>
    </row>
    <row r="513" spans="2:23" ht="14.25" customHeight="1" x14ac:dyDescent="0.3">
      <c r="B513" s="51"/>
      <c r="I513" s="52"/>
      <c r="J513" s="52"/>
      <c r="K513" s="52"/>
      <c r="L513" s="52"/>
      <c r="U513" s="51"/>
      <c r="V513" s="51"/>
      <c r="W513" s="51"/>
    </row>
    <row r="514" spans="2:23" ht="14.25" customHeight="1" x14ac:dyDescent="0.3">
      <c r="B514" s="51"/>
      <c r="I514" s="52"/>
      <c r="J514" s="52"/>
      <c r="K514" s="52"/>
      <c r="L514" s="52"/>
      <c r="U514" s="51"/>
      <c r="V514" s="51"/>
      <c r="W514" s="51"/>
    </row>
    <row r="515" spans="2:23" ht="14.25" customHeight="1" x14ac:dyDescent="0.3">
      <c r="B515" s="51"/>
      <c r="I515" s="52"/>
      <c r="J515" s="52"/>
      <c r="K515" s="52"/>
      <c r="L515" s="52"/>
      <c r="U515" s="51"/>
      <c r="V515" s="51"/>
      <c r="W515" s="51"/>
    </row>
    <row r="516" spans="2:23" ht="14.25" customHeight="1" x14ac:dyDescent="0.3">
      <c r="B516" s="51"/>
      <c r="I516" s="52"/>
      <c r="J516" s="52"/>
      <c r="K516" s="52"/>
      <c r="L516" s="52"/>
      <c r="U516" s="51"/>
      <c r="V516" s="51"/>
      <c r="W516" s="51"/>
    </row>
    <row r="517" spans="2:23" ht="14.25" customHeight="1" x14ac:dyDescent="0.3">
      <c r="B517" s="51"/>
      <c r="I517" s="52"/>
      <c r="J517" s="52"/>
      <c r="K517" s="52"/>
      <c r="L517" s="52"/>
      <c r="U517" s="51"/>
      <c r="V517" s="51"/>
      <c r="W517" s="51"/>
    </row>
    <row r="518" spans="2:23" ht="14.25" customHeight="1" x14ac:dyDescent="0.3">
      <c r="B518" s="51"/>
      <c r="I518" s="52"/>
      <c r="J518" s="52"/>
      <c r="K518" s="52"/>
      <c r="L518" s="52"/>
      <c r="U518" s="51"/>
      <c r="V518" s="51"/>
      <c r="W518" s="51"/>
    </row>
    <row r="519" spans="2:23" ht="14.25" customHeight="1" x14ac:dyDescent="0.3">
      <c r="B519" s="51"/>
      <c r="I519" s="52"/>
      <c r="J519" s="52"/>
      <c r="K519" s="52"/>
      <c r="L519" s="52"/>
      <c r="U519" s="51"/>
      <c r="V519" s="51"/>
      <c r="W519" s="51"/>
    </row>
    <row r="520" spans="2:23" ht="14.25" customHeight="1" x14ac:dyDescent="0.3">
      <c r="B520" s="51"/>
      <c r="I520" s="52"/>
      <c r="J520" s="52"/>
      <c r="K520" s="52"/>
      <c r="L520" s="52"/>
      <c r="U520" s="51"/>
      <c r="V520" s="51"/>
      <c r="W520" s="51"/>
    </row>
    <row r="521" spans="2:23" ht="14.25" customHeight="1" x14ac:dyDescent="0.3">
      <c r="B521" s="51"/>
      <c r="I521" s="52"/>
      <c r="J521" s="52"/>
      <c r="K521" s="52"/>
      <c r="L521" s="52"/>
      <c r="U521" s="51"/>
      <c r="V521" s="51"/>
      <c r="W521" s="51"/>
    </row>
    <row r="522" spans="2:23" ht="14.25" customHeight="1" x14ac:dyDescent="0.3">
      <c r="B522" s="51"/>
      <c r="I522" s="52"/>
      <c r="J522" s="52"/>
      <c r="K522" s="52"/>
      <c r="L522" s="52"/>
      <c r="U522" s="51"/>
      <c r="V522" s="51"/>
      <c r="W522" s="51"/>
    </row>
    <row r="523" spans="2:23" ht="14.25" customHeight="1" x14ac:dyDescent="0.3">
      <c r="B523" s="51"/>
      <c r="I523" s="52"/>
      <c r="J523" s="52"/>
      <c r="K523" s="52"/>
      <c r="L523" s="52"/>
      <c r="U523" s="51"/>
      <c r="V523" s="51"/>
      <c r="W523" s="51"/>
    </row>
    <row r="524" spans="2:23" ht="14.25" customHeight="1" x14ac:dyDescent="0.3">
      <c r="B524" s="51"/>
      <c r="I524" s="52"/>
      <c r="J524" s="52"/>
      <c r="K524" s="52"/>
      <c r="L524" s="52"/>
      <c r="U524" s="51"/>
      <c r="V524" s="51"/>
      <c r="W524" s="51"/>
    </row>
    <row r="525" spans="2:23" ht="14.25" customHeight="1" x14ac:dyDescent="0.3">
      <c r="B525" s="51"/>
      <c r="I525" s="52"/>
      <c r="J525" s="52"/>
      <c r="K525" s="52"/>
      <c r="L525" s="52"/>
      <c r="U525" s="51"/>
      <c r="V525" s="51"/>
      <c r="W525" s="51"/>
    </row>
    <row r="526" spans="2:23" ht="14.25" customHeight="1" x14ac:dyDescent="0.3">
      <c r="B526" s="51"/>
      <c r="I526" s="52"/>
      <c r="J526" s="52"/>
      <c r="K526" s="52"/>
      <c r="L526" s="52"/>
      <c r="U526" s="51"/>
      <c r="V526" s="51"/>
      <c r="W526" s="51"/>
    </row>
    <row r="527" spans="2:23" ht="14.25" customHeight="1" x14ac:dyDescent="0.3">
      <c r="B527" s="51"/>
      <c r="I527" s="52"/>
      <c r="J527" s="52"/>
      <c r="K527" s="52"/>
      <c r="L527" s="52"/>
      <c r="U527" s="51"/>
      <c r="V527" s="51"/>
      <c r="W527" s="51"/>
    </row>
    <row r="528" spans="2:23" ht="14.25" customHeight="1" x14ac:dyDescent="0.3">
      <c r="B528" s="51"/>
      <c r="I528" s="52"/>
      <c r="J528" s="52"/>
      <c r="K528" s="52"/>
      <c r="L528" s="52"/>
      <c r="U528" s="51"/>
      <c r="V528" s="51"/>
      <c r="W528" s="51"/>
    </row>
    <row r="529" spans="2:23" ht="14.25" customHeight="1" x14ac:dyDescent="0.3">
      <c r="B529" s="51"/>
      <c r="I529" s="52"/>
      <c r="J529" s="52"/>
      <c r="K529" s="52"/>
      <c r="L529" s="52"/>
      <c r="U529" s="51"/>
      <c r="V529" s="51"/>
      <c r="W529" s="51"/>
    </row>
    <row r="530" spans="2:23" ht="14.25" customHeight="1" x14ac:dyDescent="0.3">
      <c r="B530" s="51"/>
      <c r="I530" s="52"/>
      <c r="J530" s="52"/>
      <c r="K530" s="52"/>
      <c r="L530" s="52"/>
      <c r="U530" s="51"/>
      <c r="V530" s="51"/>
      <c r="W530" s="51"/>
    </row>
    <row r="531" spans="2:23" ht="14.25" customHeight="1" x14ac:dyDescent="0.3">
      <c r="B531" s="51"/>
      <c r="I531" s="52"/>
      <c r="J531" s="52"/>
      <c r="K531" s="52"/>
      <c r="L531" s="52"/>
      <c r="U531" s="51"/>
      <c r="V531" s="51"/>
      <c r="W531" s="51"/>
    </row>
    <row r="532" spans="2:23" ht="14.25" customHeight="1" x14ac:dyDescent="0.3">
      <c r="B532" s="51"/>
      <c r="I532" s="52"/>
      <c r="J532" s="52"/>
      <c r="K532" s="52"/>
      <c r="L532" s="52"/>
      <c r="U532" s="51"/>
      <c r="V532" s="51"/>
      <c r="W532" s="51"/>
    </row>
    <row r="533" spans="2:23" ht="14.25" customHeight="1" x14ac:dyDescent="0.3">
      <c r="B533" s="51"/>
      <c r="I533" s="52"/>
      <c r="J533" s="52"/>
      <c r="K533" s="52"/>
      <c r="L533" s="52"/>
      <c r="U533" s="51"/>
      <c r="V533" s="51"/>
      <c r="W533" s="51"/>
    </row>
    <row r="534" spans="2:23" ht="14.25" customHeight="1" x14ac:dyDescent="0.3">
      <c r="B534" s="51"/>
      <c r="I534" s="52"/>
      <c r="J534" s="52"/>
      <c r="K534" s="52"/>
      <c r="L534" s="52"/>
      <c r="U534" s="51"/>
      <c r="V534" s="51"/>
      <c r="W534" s="51"/>
    </row>
    <row r="535" spans="2:23" ht="14.25" customHeight="1" x14ac:dyDescent="0.3">
      <c r="B535" s="51"/>
      <c r="I535" s="52"/>
      <c r="J535" s="52"/>
      <c r="K535" s="52"/>
      <c r="L535" s="52"/>
      <c r="U535" s="51"/>
      <c r="V535" s="51"/>
      <c r="W535" s="51"/>
    </row>
    <row r="536" spans="2:23" ht="14.25" customHeight="1" x14ac:dyDescent="0.3">
      <c r="B536" s="51"/>
      <c r="I536" s="52"/>
      <c r="J536" s="52"/>
      <c r="K536" s="52"/>
      <c r="L536" s="52"/>
      <c r="U536" s="51"/>
      <c r="V536" s="51"/>
      <c r="W536" s="51"/>
    </row>
    <row r="537" spans="2:23" ht="14.25" customHeight="1" x14ac:dyDescent="0.3">
      <c r="B537" s="51"/>
      <c r="I537" s="52"/>
      <c r="J537" s="52"/>
      <c r="K537" s="52"/>
      <c r="L537" s="52"/>
      <c r="U537" s="51"/>
      <c r="V537" s="51"/>
      <c r="W537" s="51"/>
    </row>
    <row r="538" spans="2:23" ht="14.25" customHeight="1" x14ac:dyDescent="0.3">
      <c r="B538" s="51"/>
      <c r="I538" s="52"/>
      <c r="J538" s="52"/>
      <c r="K538" s="52"/>
      <c r="L538" s="52"/>
      <c r="U538" s="51"/>
      <c r="V538" s="51"/>
      <c r="W538" s="51"/>
    </row>
    <row r="539" spans="2:23" ht="14.25" customHeight="1" x14ac:dyDescent="0.3">
      <c r="B539" s="51"/>
      <c r="I539" s="52"/>
      <c r="J539" s="52"/>
      <c r="K539" s="52"/>
      <c r="L539" s="52"/>
      <c r="U539" s="51"/>
      <c r="V539" s="51"/>
      <c r="W539" s="51"/>
    </row>
    <row r="540" spans="2:23" ht="14.25" customHeight="1" x14ac:dyDescent="0.3">
      <c r="B540" s="51"/>
      <c r="I540" s="52"/>
      <c r="J540" s="52"/>
      <c r="K540" s="52"/>
      <c r="L540" s="52"/>
      <c r="U540" s="51"/>
      <c r="V540" s="51"/>
      <c r="W540" s="51"/>
    </row>
    <row r="541" spans="2:23" ht="14.25" customHeight="1" x14ac:dyDescent="0.3">
      <c r="B541" s="51"/>
      <c r="I541" s="52"/>
      <c r="J541" s="52"/>
      <c r="K541" s="52"/>
      <c r="L541" s="52"/>
      <c r="U541" s="51"/>
      <c r="V541" s="51"/>
      <c r="W541" s="51"/>
    </row>
    <row r="542" spans="2:23" ht="14.25" customHeight="1" x14ac:dyDescent="0.3">
      <c r="B542" s="51"/>
      <c r="I542" s="52"/>
      <c r="J542" s="52"/>
      <c r="K542" s="52"/>
      <c r="L542" s="52"/>
      <c r="U542" s="51"/>
      <c r="V542" s="51"/>
      <c r="W542" s="51"/>
    </row>
    <row r="543" spans="2:23" ht="14.25" customHeight="1" x14ac:dyDescent="0.3">
      <c r="B543" s="51"/>
      <c r="I543" s="52"/>
      <c r="J543" s="52"/>
      <c r="K543" s="52"/>
      <c r="L543" s="52"/>
      <c r="U543" s="51"/>
      <c r="V543" s="51"/>
      <c r="W543" s="51"/>
    </row>
    <row r="544" spans="2:23" ht="14.25" customHeight="1" x14ac:dyDescent="0.3">
      <c r="B544" s="51"/>
      <c r="I544" s="52"/>
      <c r="J544" s="52"/>
      <c r="K544" s="52"/>
      <c r="L544" s="52"/>
      <c r="U544" s="51"/>
      <c r="V544" s="51"/>
      <c r="W544" s="51"/>
    </row>
    <row r="545" spans="2:23" ht="14.25" customHeight="1" x14ac:dyDescent="0.3">
      <c r="B545" s="51"/>
      <c r="I545" s="52"/>
      <c r="J545" s="52"/>
      <c r="K545" s="52"/>
      <c r="L545" s="52"/>
      <c r="U545" s="51"/>
      <c r="V545" s="51"/>
      <c r="W545" s="51"/>
    </row>
    <row r="546" spans="2:23" ht="14.25" customHeight="1" x14ac:dyDescent="0.3">
      <c r="B546" s="51"/>
      <c r="I546" s="52"/>
      <c r="J546" s="52"/>
      <c r="K546" s="52"/>
      <c r="L546" s="52"/>
      <c r="U546" s="51"/>
      <c r="V546" s="51"/>
      <c r="W546" s="51"/>
    </row>
    <row r="547" spans="2:23" ht="14.25" customHeight="1" x14ac:dyDescent="0.3">
      <c r="B547" s="51"/>
      <c r="I547" s="52"/>
      <c r="J547" s="52"/>
      <c r="K547" s="52"/>
      <c r="L547" s="52"/>
      <c r="U547" s="51"/>
      <c r="V547" s="51"/>
      <c r="W547" s="51"/>
    </row>
    <row r="548" spans="2:23" ht="14.25" customHeight="1" x14ac:dyDescent="0.3">
      <c r="B548" s="51"/>
      <c r="I548" s="52"/>
      <c r="J548" s="52"/>
      <c r="K548" s="52"/>
      <c r="L548" s="52"/>
      <c r="U548" s="51"/>
      <c r="V548" s="51"/>
      <c r="W548" s="51"/>
    </row>
    <row r="549" spans="2:23" ht="14.25" customHeight="1" x14ac:dyDescent="0.3">
      <c r="B549" s="51"/>
      <c r="I549" s="52"/>
      <c r="J549" s="52"/>
      <c r="K549" s="52"/>
      <c r="L549" s="52"/>
      <c r="U549" s="51"/>
      <c r="V549" s="51"/>
      <c r="W549" s="51"/>
    </row>
    <row r="550" spans="2:23" ht="14.25" customHeight="1" x14ac:dyDescent="0.3">
      <c r="B550" s="51"/>
      <c r="I550" s="52"/>
      <c r="J550" s="52"/>
      <c r="K550" s="52"/>
      <c r="L550" s="52"/>
      <c r="U550" s="51"/>
      <c r="V550" s="51"/>
      <c r="W550" s="51"/>
    </row>
    <row r="551" spans="2:23" ht="14.25" customHeight="1" x14ac:dyDescent="0.3">
      <c r="B551" s="51"/>
      <c r="I551" s="52"/>
      <c r="J551" s="52"/>
      <c r="K551" s="52"/>
      <c r="L551" s="52"/>
      <c r="U551" s="51"/>
      <c r="V551" s="51"/>
      <c r="W551" s="51"/>
    </row>
    <row r="552" spans="2:23" ht="14.25" customHeight="1" x14ac:dyDescent="0.3">
      <c r="B552" s="51"/>
      <c r="I552" s="52"/>
      <c r="J552" s="52"/>
      <c r="K552" s="52"/>
      <c r="L552" s="52"/>
      <c r="U552" s="51"/>
      <c r="V552" s="51"/>
      <c r="W552" s="51"/>
    </row>
    <row r="553" spans="2:23" ht="14.25" customHeight="1" x14ac:dyDescent="0.3">
      <c r="B553" s="51"/>
      <c r="I553" s="52"/>
      <c r="J553" s="52"/>
      <c r="K553" s="52"/>
      <c r="L553" s="52"/>
      <c r="U553" s="51"/>
      <c r="V553" s="51"/>
      <c r="W553" s="51"/>
    </row>
    <row r="554" spans="2:23" ht="14.25" customHeight="1" x14ac:dyDescent="0.3">
      <c r="B554" s="51"/>
      <c r="I554" s="52"/>
      <c r="J554" s="52"/>
      <c r="K554" s="52"/>
      <c r="L554" s="52"/>
      <c r="U554" s="51"/>
      <c r="V554" s="51"/>
      <c r="W554" s="51"/>
    </row>
    <row r="555" spans="2:23" ht="14.25" customHeight="1" x14ac:dyDescent="0.3">
      <c r="B555" s="51"/>
      <c r="I555" s="52"/>
      <c r="J555" s="52"/>
      <c r="K555" s="52"/>
      <c r="L555" s="52"/>
      <c r="U555" s="51"/>
      <c r="V555" s="51"/>
      <c r="W555" s="51"/>
    </row>
    <row r="556" spans="2:23" ht="14.25" customHeight="1" x14ac:dyDescent="0.3">
      <c r="B556" s="51"/>
      <c r="I556" s="52"/>
      <c r="J556" s="52"/>
      <c r="K556" s="52"/>
      <c r="L556" s="52"/>
      <c r="U556" s="51"/>
      <c r="V556" s="51"/>
      <c r="W556" s="51"/>
    </row>
    <row r="557" spans="2:23" ht="14.25" customHeight="1" x14ac:dyDescent="0.3">
      <c r="B557" s="51"/>
      <c r="I557" s="52"/>
      <c r="J557" s="52"/>
      <c r="K557" s="52"/>
      <c r="L557" s="52"/>
      <c r="U557" s="51"/>
      <c r="V557" s="51"/>
      <c r="W557" s="51"/>
    </row>
    <row r="558" spans="2:23" ht="14.25" customHeight="1" x14ac:dyDescent="0.3">
      <c r="B558" s="51"/>
      <c r="I558" s="52"/>
      <c r="J558" s="52"/>
      <c r="K558" s="52"/>
      <c r="L558" s="52"/>
      <c r="U558" s="51"/>
      <c r="V558" s="51"/>
      <c r="W558" s="51"/>
    </row>
    <row r="559" spans="2:23" ht="14.25" customHeight="1" x14ac:dyDescent="0.3">
      <c r="B559" s="51"/>
      <c r="I559" s="52"/>
      <c r="J559" s="52"/>
      <c r="K559" s="52"/>
      <c r="L559" s="52"/>
      <c r="U559" s="51"/>
      <c r="V559" s="51"/>
      <c r="W559" s="51"/>
    </row>
    <row r="560" spans="2:23" ht="14.25" customHeight="1" x14ac:dyDescent="0.3">
      <c r="B560" s="51"/>
      <c r="I560" s="52"/>
      <c r="J560" s="52"/>
      <c r="K560" s="52"/>
      <c r="L560" s="52"/>
      <c r="U560" s="51"/>
      <c r="V560" s="51"/>
      <c r="W560" s="51"/>
    </row>
    <row r="561" spans="2:23" ht="14.25" customHeight="1" x14ac:dyDescent="0.3">
      <c r="B561" s="51"/>
      <c r="I561" s="52"/>
      <c r="J561" s="52"/>
      <c r="K561" s="52"/>
      <c r="L561" s="52"/>
      <c r="U561" s="51"/>
      <c r="V561" s="51"/>
      <c r="W561" s="51"/>
    </row>
    <row r="562" spans="2:23" ht="14.25" customHeight="1" x14ac:dyDescent="0.3">
      <c r="B562" s="51"/>
      <c r="I562" s="52"/>
      <c r="J562" s="52"/>
      <c r="K562" s="52"/>
      <c r="L562" s="52"/>
      <c r="U562" s="51"/>
      <c r="V562" s="51"/>
      <c r="W562" s="51"/>
    </row>
    <row r="563" spans="2:23" ht="14.25" customHeight="1" x14ac:dyDescent="0.3">
      <c r="B563" s="51"/>
      <c r="I563" s="52"/>
      <c r="J563" s="52"/>
      <c r="K563" s="52"/>
      <c r="L563" s="52"/>
      <c r="U563" s="51"/>
      <c r="V563" s="51"/>
      <c r="W563" s="51"/>
    </row>
    <row r="564" spans="2:23" ht="14.25" customHeight="1" x14ac:dyDescent="0.3">
      <c r="B564" s="51"/>
      <c r="I564" s="52"/>
      <c r="J564" s="52"/>
      <c r="K564" s="52"/>
      <c r="L564" s="52"/>
      <c r="U564" s="51"/>
      <c r="V564" s="51"/>
      <c r="W564" s="51"/>
    </row>
    <row r="565" spans="2:23" ht="14.25" customHeight="1" x14ac:dyDescent="0.3">
      <c r="B565" s="51"/>
      <c r="I565" s="52"/>
      <c r="J565" s="52"/>
      <c r="K565" s="52"/>
      <c r="L565" s="52"/>
      <c r="U565" s="51"/>
      <c r="V565" s="51"/>
      <c r="W565" s="51"/>
    </row>
    <row r="566" spans="2:23" ht="14.25" customHeight="1" x14ac:dyDescent="0.3">
      <c r="B566" s="51"/>
      <c r="I566" s="52"/>
      <c r="J566" s="52"/>
      <c r="K566" s="52"/>
      <c r="L566" s="52"/>
      <c r="U566" s="51"/>
      <c r="V566" s="51"/>
      <c r="W566" s="51"/>
    </row>
    <row r="567" spans="2:23" ht="14.25" customHeight="1" x14ac:dyDescent="0.3">
      <c r="B567" s="51"/>
      <c r="I567" s="52"/>
      <c r="J567" s="52"/>
      <c r="K567" s="52"/>
      <c r="L567" s="52"/>
      <c r="U567" s="51"/>
      <c r="V567" s="51"/>
      <c r="W567" s="51"/>
    </row>
    <row r="568" spans="2:23" ht="14.25" customHeight="1" x14ac:dyDescent="0.3">
      <c r="B568" s="51"/>
      <c r="I568" s="52"/>
      <c r="J568" s="52"/>
      <c r="K568" s="52"/>
      <c r="L568" s="52"/>
      <c r="U568" s="51"/>
      <c r="V568" s="51"/>
      <c r="W568" s="51"/>
    </row>
    <row r="569" spans="2:23" ht="14.25" customHeight="1" x14ac:dyDescent="0.3">
      <c r="B569" s="51"/>
      <c r="I569" s="52"/>
      <c r="J569" s="52"/>
      <c r="K569" s="52"/>
      <c r="L569" s="52"/>
      <c r="U569" s="51"/>
      <c r="V569" s="51"/>
      <c r="W569" s="51"/>
    </row>
    <row r="570" spans="2:23" ht="14.25" customHeight="1" x14ac:dyDescent="0.3">
      <c r="B570" s="51"/>
      <c r="I570" s="52"/>
      <c r="J570" s="52"/>
      <c r="K570" s="52"/>
      <c r="L570" s="52"/>
      <c r="U570" s="51"/>
      <c r="V570" s="51"/>
      <c r="W570" s="51"/>
    </row>
    <row r="571" spans="2:23" ht="14.25" customHeight="1" x14ac:dyDescent="0.3">
      <c r="B571" s="51"/>
      <c r="I571" s="52"/>
      <c r="J571" s="52"/>
      <c r="K571" s="52"/>
      <c r="L571" s="52"/>
      <c r="U571" s="51"/>
      <c r="V571" s="51"/>
      <c r="W571" s="51"/>
    </row>
    <row r="572" spans="2:23" ht="14.25" customHeight="1" x14ac:dyDescent="0.3">
      <c r="B572" s="51"/>
      <c r="I572" s="52"/>
      <c r="J572" s="52"/>
      <c r="K572" s="52"/>
      <c r="L572" s="52"/>
      <c r="U572" s="51"/>
      <c r="V572" s="51"/>
      <c r="W572" s="51"/>
    </row>
    <row r="573" spans="2:23" ht="14.25" customHeight="1" x14ac:dyDescent="0.3">
      <c r="B573" s="51"/>
      <c r="I573" s="52"/>
      <c r="J573" s="52"/>
      <c r="K573" s="52"/>
      <c r="L573" s="52"/>
      <c r="U573" s="51"/>
      <c r="V573" s="51"/>
      <c r="W573" s="51"/>
    </row>
    <row r="574" spans="2:23" ht="14.25" customHeight="1" x14ac:dyDescent="0.3">
      <c r="B574" s="51"/>
      <c r="I574" s="52"/>
      <c r="J574" s="52"/>
      <c r="K574" s="52"/>
      <c r="L574" s="52"/>
      <c r="U574" s="51"/>
      <c r="V574" s="51"/>
      <c r="W574" s="51"/>
    </row>
    <row r="575" spans="2:23" ht="14.25" customHeight="1" x14ac:dyDescent="0.3">
      <c r="B575" s="51"/>
      <c r="I575" s="52"/>
      <c r="J575" s="52"/>
      <c r="K575" s="52"/>
      <c r="L575" s="52"/>
      <c r="U575" s="51"/>
      <c r="V575" s="51"/>
      <c r="W575" s="51"/>
    </row>
    <row r="576" spans="2:23" ht="14.25" customHeight="1" x14ac:dyDescent="0.3">
      <c r="B576" s="51"/>
      <c r="I576" s="52"/>
      <c r="J576" s="52"/>
      <c r="K576" s="52"/>
      <c r="L576" s="52"/>
      <c r="U576" s="51"/>
      <c r="V576" s="51"/>
      <c r="W576" s="51"/>
    </row>
    <row r="577" spans="2:23" ht="14.25" customHeight="1" x14ac:dyDescent="0.3">
      <c r="B577" s="51"/>
      <c r="I577" s="52"/>
      <c r="J577" s="52"/>
      <c r="K577" s="52"/>
      <c r="L577" s="52"/>
      <c r="U577" s="51"/>
      <c r="V577" s="51"/>
      <c r="W577" s="51"/>
    </row>
    <row r="578" spans="2:23" ht="14.25" customHeight="1" x14ac:dyDescent="0.3">
      <c r="B578" s="51"/>
      <c r="I578" s="52"/>
      <c r="J578" s="52"/>
      <c r="K578" s="52"/>
      <c r="L578" s="52"/>
      <c r="U578" s="51"/>
      <c r="V578" s="51"/>
      <c r="W578" s="51"/>
    </row>
    <row r="579" spans="2:23" ht="14.25" customHeight="1" x14ac:dyDescent="0.3">
      <c r="B579" s="51"/>
      <c r="I579" s="52"/>
      <c r="J579" s="52"/>
      <c r="K579" s="52"/>
      <c r="L579" s="52"/>
      <c r="U579" s="51"/>
      <c r="V579" s="51"/>
      <c r="W579" s="51"/>
    </row>
    <row r="580" spans="2:23" ht="14.25" customHeight="1" x14ac:dyDescent="0.3">
      <c r="B580" s="51"/>
      <c r="I580" s="52"/>
      <c r="J580" s="52"/>
      <c r="K580" s="52"/>
      <c r="L580" s="52"/>
      <c r="U580" s="51"/>
      <c r="V580" s="51"/>
      <c r="W580" s="51"/>
    </row>
    <row r="581" spans="2:23" ht="14.25" customHeight="1" x14ac:dyDescent="0.3">
      <c r="B581" s="51"/>
      <c r="I581" s="52"/>
      <c r="J581" s="52"/>
      <c r="K581" s="52"/>
      <c r="L581" s="52"/>
      <c r="U581" s="51"/>
      <c r="V581" s="51"/>
      <c r="W581" s="51"/>
    </row>
    <row r="582" spans="2:23" ht="14.25" customHeight="1" x14ac:dyDescent="0.3">
      <c r="B582" s="51"/>
      <c r="I582" s="52"/>
      <c r="J582" s="52"/>
      <c r="K582" s="52"/>
      <c r="L582" s="52"/>
      <c r="U582" s="51"/>
      <c r="V582" s="51"/>
      <c r="W582" s="51"/>
    </row>
    <row r="583" spans="2:23" ht="14.25" customHeight="1" x14ac:dyDescent="0.3">
      <c r="B583" s="51"/>
      <c r="I583" s="52"/>
      <c r="J583" s="52"/>
      <c r="K583" s="52"/>
      <c r="L583" s="52"/>
      <c r="U583" s="51"/>
      <c r="V583" s="51"/>
      <c r="W583" s="51"/>
    </row>
    <row r="584" spans="2:23" ht="14.25" customHeight="1" x14ac:dyDescent="0.3">
      <c r="B584" s="51"/>
      <c r="I584" s="52"/>
      <c r="J584" s="52"/>
      <c r="K584" s="52"/>
      <c r="L584" s="52"/>
      <c r="U584" s="51"/>
      <c r="V584" s="51"/>
      <c r="W584" s="51"/>
    </row>
    <row r="585" spans="2:23" ht="14.25" customHeight="1" x14ac:dyDescent="0.3">
      <c r="B585" s="51"/>
      <c r="I585" s="52"/>
      <c r="J585" s="52"/>
      <c r="K585" s="52"/>
      <c r="L585" s="52"/>
      <c r="U585" s="51"/>
      <c r="V585" s="51"/>
      <c r="W585" s="51"/>
    </row>
    <row r="586" spans="2:23" ht="14.25" customHeight="1" x14ac:dyDescent="0.3">
      <c r="B586" s="51"/>
      <c r="I586" s="52"/>
      <c r="J586" s="52"/>
      <c r="K586" s="52"/>
      <c r="L586" s="52"/>
      <c r="U586" s="51"/>
      <c r="V586" s="51"/>
      <c r="W586" s="51"/>
    </row>
    <row r="587" spans="2:23" ht="14.25" customHeight="1" x14ac:dyDescent="0.3">
      <c r="B587" s="51"/>
      <c r="I587" s="52"/>
      <c r="J587" s="52"/>
      <c r="K587" s="52"/>
      <c r="L587" s="52"/>
      <c r="U587" s="51"/>
      <c r="V587" s="51"/>
      <c r="W587" s="51"/>
    </row>
    <row r="588" spans="2:23" ht="14.25" customHeight="1" x14ac:dyDescent="0.3">
      <c r="B588" s="51"/>
      <c r="I588" s="52"/>
      <c r="J588" s="52"/>
      <c r="K588" s="52"/>
      <c r="L588" s="52"/>
      <c r="U588" s="51"/>
      <c r="V588" s="51"/>
      <c r="W588" s="51"/>
    </row>
    <row r="589" spans="2:23" ht="14.25" customHeight="1" x14ac:dyDescent="0.3">
      <c r="B589" s="51"/>
      <c r="I589" s="52"/>
      <c r="J589" s="52"/>
      <c r="K589" s="52"/>
      <c r="L589" s="52"/>
      <c r="U589" s="51"/>
      <c r="V589" s="51"/>
      <c r="W589" s="51"/>
    </row>
    <row r="590" spans="2:23" ht="14.25" customHeight="1" x14ac:dyDescent="0.3">
      <c r="B590" s="51"/>
      <c r="I590" s="52"/>
      <c r="J590" s="52"/>
      <c r="K590" s="52"/>
      <c r="L590" s="52"/>
      <c r="U590" s="51"/>
      <c r="V590" s="51"/>
      <c r="W590" s="51"/>
    </row>
    <row r="591" spans="2:23" ht="14.25" customHeight="1" x14ac:dyDescent="0.3">
      <c r="B591" s="51"/>
      <c r="I591" s="52"/>
      <c r="J591" s="52"/>
      <c r="K591" s="52"/>
      <c r="L591" s="52"/>
      <c r="U591" s="51"/>
      <c r="V591" s="51"/>
      <c r="W591" s="51"/>
    </row>
    <row r="592" spans="2:23" ht="14.25" customHeight="1" x14ac:dyDescent="0.3">
      <c r="B592" s="51"/>
      <c r="I592" s="52"/>
      <c r="J592" s="52"/>
      <c r="K592" s="52"/>
      <c r="L592" s="52"/>
      <c r="U592" s="51"/>
      <c r="V592" s="51"/>
      <c r="W592" s="51"/>
    </row>
    <row r="593" spans="2:23" ht="14.25" customHeight="1" x14ac:dyDescent="0.3">
      <c r="B593" s="51"/>
      <c r="I593" s="52"/>
      <c r="J593" s="52"/>
      <c r="K593" s="52"/>
      <c r="L593" s="52"/>
      <c r="U593" s="51"/>
      <c r="V593" s="51"/>
      <c r="W593" s="51"/>
    </row>
    <row r="594" spans="2:23" ht="14.25" customHeight="1" x14ac:dyDescent="0.3">
      <c r="B594" s="51"/>
      <c r="I594" s="52"/>
      <c r="J594" s="52"/>
      <c r="K594" s="52"/>
      <c r="L594" s="52"/>
      <c r="U594" s="51"/>
      <c r="V594" s="51"/>
      <c r="W594" s="51"/>
    </row>
    <row r="595" spans="2:23" ht="14.25" customHeight="1" x14ac:dyDescent="0.3">
      <c r="B595" s="51"/>
      <c r="I595" s="52"/>
      <c r="J595" s="52"/>
      <c r="K595" s="52"/>
      <c r="L595" s="52"/>
      <c r="U595" s="51"/>
      <c r="V595" s="51"/>
      <c r="W595" s="51"/>
    </row>
    <row r="596" spans="2:23" ht="14.25" customHeight="1" x14ac:dyDescent="0.3">
      <c r="B596" s="51"/>
      <c r="I596" s="52"/>
      <c r="J596" s="52"/>
      <c r="K596" s="52"/>
      <c r="L596" s="52"/>
      <c r="U596" s="51"/>
      <c r="V596" s="51"/>
      <c r="W596" s="51"/>
    </row>
    <row r="597" spans="2:23" ht="14.25" customHeight="1" x14ac:dyDescent="0.3">
      <c r="B597" s="51"/>
      <c r="I597" s="52"/>
      <c r="J597" s="52"/>
      <c r="K597" s="52"/>
      <c r="L597" s="52"/>
      <c r="U597" s="51"/>
      <c r="V597" s="51"/>
      <c r="W597" s="51"/>
    </row>
    <row r="598" spans="2:23" ht="14.25" customHeight="1" x14ac:dyDescent="0.3">
      <c r="B598" s="51"/>
      <c r="I598" s="52"/>
      <c r="J598" s="52"/>
      <c r="K598" s="52"/>
      <c r="L598" s="52"/>
      <c r="U598" s="51"/>
      <c r="V598" s="51"/>
      <c r="W598" s="51"/>
    </row>
    <row r="599" spans="2:23" ht="14.25" customHeight="1" x14ac:dyDescent="0.3">
      <c r="B599" s="51"/>
      <c r="I599" s="52"/>
      <c r="J599" s="52"/>
      <c r="K599" s="52"/>
      <c r="L599" s="52"/>
      <c r="U599" s="51"/>
      <c r="V599" s="51"/>
      <c r="W599" s="51"/>
    </row>
    <row r="600" spans="2:23" ht="14.25" customHeight="1" x14ac:dyDescent="0.3">
      <c r="B600" s="51"/>
      <c r="I600" s="52"/>
      <c r="J600" s="52"/>
      <c r="K600" s="52"/>
      <c r="L600" s="52"/>
      <c r="U600" s="51"/>
      <c r="V600" s="51"/>
      <c r="W600" s="51"/>
    </row>
    <row r="601" spans="2:23" ht="14.25" customHeight="1" x14ac:dyDescent="0.3">
      <c r="B601" s="51"/>
      <c r="I601" s="52"/>
      <c r="J601" s="52"/>
      <c r="K601" s="52"/>
      <c r="L601" s="52"/>
      <c r="U601" s="51"/>
      <c r="V601" s="51"/>
      <c r="W601" s="51"/>
    </row>
    <row r="602" spans="2:23" ht="14.25" customHeight="1" x14ac:dyDescent="0.3">
      <c r="B602" s="51"/>
      <c r="I602" s="52"/>
      <c r="J602" s="52"/>
      <c r="K602" s="52"/>
      <c r="L602" s="52"/>
      <c r="U602" s="51"/>
      <c r="V602" s="51"/>
      <c r="W602" s="51"/>
    </row>
    <row r="603" spans="2:23" ht="14.25" customHeight="1" x14ac:dyDescent="0.3">
      <c r="B603" s="51"/>
      <c r="I603" s="52"/>
      <c r="J603" s="52"/>
      <c r="K603" s="52"/>
      <c r="L603" s="52"/>
      <c r="U603" s="51"/>
      <c r="V603" s="51"/>
      <c r="W603" s="51"/>
    </row>
    <row r="604" spans="2:23" ht="14.25" customHeight="1" x14ac:dyDescent="0.3">
      <c r="B604" s="51"/>
      <c r="I604" s="52"/>
      <c r="J604" s="52"/>
      <c r="K604" s="52"/>
      <c r="L604" s="52"/>
      <c r="U604" s="51"/>
      <c r="V604" s="51"/>
      <c r="W604" s="51"/>
    </row>
    <row r="605" spans="2:23" ht="14.25" customHeight="1" x14ac:dyDescent="0.3">
      <c r="B605" s="51"/>
      <c r="I605" s="52"/>
      <c r="J605" s="52"/>
      <c r="K605" s="52"/>
      <c r="L605" s="52"/>
      <c r="U605" s="51"/>
      <c r="V605" s="51"/>
      <c r="W605" s="51"/>
    </row>
    <row r="606" spans="2:23" ht="14.25" customHeight="1" x14ac:dyDescent="0.3">
      <c r="B606" s="51"/>
      <c r="I606" s="52"/>
      <c r="J606" s="52"/>
      <c r="K606" s="52"/>
      <c r="L606" s="52"/>
      <c r="U606" s="51"/>
      <c r="V606" s="51"/>
      <c r="W606" s="51"/>
    </row>
    <row r="607" spans="2:23" ht="14.25" customHeight="1" x14ac:dyDescent="0.3">
      <c r="B607" s="51"/>
      <c r="I607" s="52"/>
      <c r="J607" s="52"/>
      <c r="K607" s="52"/>
      <c r="L607" s="52"/>
      <c r="U607" s="51"/>
      <c r="V607" s="51"/>
      <c r="W607" s="51"/>
    </row>
    <row r="608" spans="2:23" ht="14.25" customHeight="1" x14ac:dyDescent="0.3">
      <c r="B608" s="51"/>
      <c r="I608" s="52"/>
      <c r="J608" s="52"/>
      <c r="K608" s="52"/>
      <c r="L608" s="52"/>
      <c r="U608" s="51"/>
      <c r="V608" s="51"/>
      <c r="W608" s="51"/>
    </row>
    <row r="609" spans="2:23" ht="14.25" customHeight="1" x14ac:dyDescent="0.3">
      <c r="B609" s="51"/>
      <c r="I609" s="52"/>
      <c r="J609" s="52"/>
      <c r="K609" s="52"/>
      <c r="L609" s="52"/>
      <c r="U609" s="51"/>
      <c r="V609" s="51"/>
      <c r="W609" s="51"/>
    </row>
    <row r="610" spans="2:23" ht="14.25" customHeight="1" x14ac:dyDescent="0.3">
      <c r="B610" s="51"/>
      <c r="I610" s="52"/>
      <c r="J610" s="52"/>
      <c r="K610" s="52"/>
      <c r="L610" s="52"/>
      <c r="U610" s="51"/>
      <c r="V610" s="51"/>
      <c r="W610" s="51"/>
    </row>
    <row r="611" spans="2:23" ht="14.25" customHeight="1" x14ac:dyDescent="0.3">
      <c r="B611" s="51"/>
      <c r="I611" s="52"/>
      <c r="J611" s="52"/>
      <c r="K611" s="52"/>
      <c r="L611" s="52"/>
      <c r="U611" s="51"/>
      <c r="V611" s="51"/>
      <c r="W611" s="51"/>
    </row>
    <row r="612" spans="2:23" ht="14.25" customHeight="1" x14ac:dyDescent="0.3">
      <c r="B612" s="51"/>
      <c r="I612" s="52"/>
      <c r="J612" s="52"/>
      <c r="K612" s="52"/>
      <c r="L612" s="52"/>
      <c r="U612" s="51"/>
      <c r="V612" s="51"/>
      <c r="W612" s="51"/>
    </row>
    <row r="613" spans="2:23" ht="14.25" customHeight="1" x14ac:dyDescent="0.3">
      <c r="B613" s="51"/>
      <c r="I613" s="52"/>
      <c r="J613" s="52"/>
      <c r="K613" s="52"/>
      <c r="L613" s="52"/>
      <c r="U613" s="51"/>
      <c r="V613" s="51"/>
      <c r="W613" s="51"/>
    </row>
    <row r="614" spans="2:23" ht="14.25" customHeight="1" x14ac:dyDescent="0.3">
      <c r="B614" s="51"/>
      <c r="I614" s="52"/>
      <c r="J614" s="52"/>
      <c r="K614" s="52"/>
      <c r="L614" s="52"/>
      <c r="U614" s="51"/>
      <c r="V614" s="51"/>
      <c r="W614" s="51"/>
    </row>
    <row r="615" spans="2:23" ht="14.25" customHeight="1" x14ac:dyDescent="0.3">
      <c r="B615" s="51"/>
      <c r="I615" s="52"/>
      <c r="J615" s="52"/>
      <c r="K615" s="52"/>
      <c r="L615" s="52"/>
      <c r="U615" s="51"/>
      <c r="V615" s="51"/>
      <c r="W615" s="51"/>
    </row>
    <row r="616" spans="2:23" ht="14.25" customHeight="1" x14ac:dyDescent="0.3">
      <c r="B616" s="51"/>
      <c r="I616" s="52"/>
      <c r="J616" s="52"/>
      <c r="K616" s="52"/>
      <c r="L616" s="52"/>
      <c r="U616" s="51"/>
      <c r="V616" s="51"/>
      <c r="W616" s="51"/>
    </row>
    <row r="617" spans="2:23" ht="14.25" customHeight="1" x14ac:dyDescent="0.3">
      <c r="B617" s="51"/>
      <c r="I617" s="52"/>
      <c r="J617" s="52"/>
      <c r="K617" s="52"/>
      <c r="L617" s="52"/>
      <c r="U617" s="51"/>
      <c r="V617" s="51"/>
      <c r="W617" s="51"/>
    </row>
    <row r="618" spans="2:23" ht="14.25" customHeight="1" x14ac:dyDescent="0.3">
      <c r="B618" s="51"/>
      <c r="I618" s="52"/>
      <c r="J618" s="52"/>
      <c r="K618" s="52"/>
      <c r="L618" s="52"/>
      <c r="U618" s="51"/>
      <c r="V618" s="51"/>
      <c r="W618" s="51"/>
    </row>
    <row r="619" spans="2:23" ht="14.25" customHeight="1" x14ac:dyDescent="0.3">
      <c r="B619" s="51"/>
      <c r="I619" s="52"/>
      <c r="J619" s="52"/>
      <c r="K619" s="52"/>
      <c r="L619" s="52"/>
      <c r="U619" s="51"/>
      <c r="V619" s="51"/>
      <c r="W619" s="51"/>
    </row>
    <row r="620" spans="2:23" ht="14.25" customHeight="1" x14ac:dyDescent="0.3">
      <c r="B620" s="51"/>
      <c r="I620" s="52"/>
      <c r="J620" s="52"/>
      <c r="K620" s="52"/>
      <c r="L620" s="52"/>
      <c r="U620" s="51"/>
      <c r="V620" s="51"/>
      <c r="W620" s="51"/>
    </row>
    <row r="621" spans="2:23" ht="14.25" customHeight="1" x14ac:dyDescent="0.3">
      <c r="B621" s="51"/>
      <c r="I621" s="52"/>
      <c r="J621" s="52"/>
      <c r="K621" s="52"/>
      <c r="L621" s="52"/>
      <c r="U621" s="51"/>
      <c r="V621" s="51"/>
      <c r="W621" s="51"/>
    </row>
    <row r="622" spans="2:23" ht="14.25" customHeight="1" x14ac:dyDescent="0.3">
      <c r="B622" s="51"/>
      <c r="I622" s="52"/>
      <c r="J622" s="52"/>
      <c r="K622" s="52"/>
      <c r="L622" s="52"/>
      <c r="U622" s="51"/>
      <c r="V622" s="51"/>
      <c r="W622" s="51"/>
    </row>
    <row r="623" spans="2:23" ht="14.25" customHeight="1" x14ac:dyDescent="0.3">
      <c r="B623" s="51"/>
      <c r="I623" s="52"/>
      <c r="J623" s="52"/>
      <c r="K623" s="52"/>
      <c r="L623" s="52"/>
      <c r="U623" s="51"/>
      <c r="V623" s="51"/>
      <c r="W623" s="51"/>
    </row>
    <row r="624" spans="2:23" ht="14.25" customHeight="1" x14ac:dyDescent="0.3">
      <c r="B624" s="51"/>
      <c r="I624" s="52"/>
      <c r="J624" s="52"/>
      <c r="K624" s="52"/>
      <c r="L624" s="52"/>
      <c r="U624" s="51"/>
      <c r="V624" s="51"/>
      <c r="W624" s="51"/>
    </row>
    <row r="625" spans="2:23" ht="14.25" customHeight="1" x14ac:dyDescent="0.3">
      <c r="B625" s="51"/>
      <c r="I625" s="52"/>
      <c r="J625" s="52"/>
      <c r="K625" s="52"/>
      <c r="L625" s="52"/>
      <c r="U625" s="51"/>
      <c r="V625" s="51"/>
      <c r="W625" s="51"/>
    </row>
    <row r="626" spans="2:23" ht="14.25" customHeight="1" x14ac:dyDescent="0.3">
      <c r="B626" s="51"/>
      <c r="I626" s="52"/>
      <c r="J626" s="52"/>
      <c r="K626" s="52"/>
      <c r="L626" s="52"/>
      <c r="U626" s="51"/>
      <c r="V626" s="51"/>
      <c r="W626" s="51"/>
    </row>
    <row r="627" spans="2:23" ht="14.25" customHeight="1" x14ac:dyDescent="0.3">
      <c r="B627" s="51"/>
      <c r="I627" s="52"/>
      <c r="J627" s="52"/>
      <c r="K627" s="52"/>
      <c r="L627" s="52"/>
      <c r="U627" s="51"/>
      <c r="V627" s="51"/>
      <c r="W627" s="51"/>
    </row>
    <row r="628" spans="2:23" ht="14.25" customHeight="1" x14ac:dyDescent="0.3">
      <c r="B628" s="51"/>
      <c r="I628" s="52"/>
      <c r="J628" s="52"/>
      <c r="K628" s="52"/>
      <c r="L628" s="52"/>
      <c r="U628" s="51"/>
      <c r="V628" s="51"/>
      <c r="W628" s="51"/>
    </row>
    <row r="629" spans="2:23" ht="14.25" customHeight="1" x14ac:dyDescent="0.3">
      <c r="B629" s="51"/>
      <c r="I629" s="52"/>
      <c r="J629" s="52"/>
      <c r="K629" s="52"/>
      <c r="L629" s="52"/>
      <c r="U629" s="51"/>
      <c r="V629" s="51"/>
      <c r="W629" s="51"/>
    </row>
    <row r="630" spans="2:23" ht="14.25" customHeight="1" x14ac:dyDescent="0.3">
      <c r="B630" s="51"/>
      <c r="I630" s="52"/>
      <c r="J630" s="52"/>
      <c r="K630" s="52"/>
      <c r="L630" s="52"/>
      <c r="U630" s="51"/>
      <c r="V630" s="51"/>
      <c r="W630" s="51"/>
    </row>
    <row r="631" spans="2:23" ht="14.25" customHeight="1" x14ac:dyDescent="0.3">
      <c r="B631" s="51"/>
      <c r="I631" s="52"/>
      <c r="J631" s="52"/>
      <c r="K631" s="52"/>
      <c r="L631" s="52"/>
      <c r="U631" s="51"/>
      <c r="V631" s="51"/>
      <c r="W631" s="51"/>
    </row>
    <row r="632" spans="2:23" ht="14.25" customHeight="1" x14ac:dyDescent="0.3">
      <c r="B632" s="51"/>
      <c r="I632" s="52"/>
      <c r="J632" s="52"/>
      <c r="K632" s="52"/>
      <c r="L632" s="52"/>
      <c r="U632" s="51"/>
      <c r="V632" s="51"/>
      <c r="W632" s="51"/>
    </row>
    <row r="633" spans="2:23" ht="14.25" customHeight="1" x14ac:dyDescent="0.3">
      <c r="B633" s="51"/>
      <c r="I633" s="52"/>
      <c r="J633" s="52"/>
      <c r="K633" s="52"/>
      <c r="L633" s="52"/>
      <c r="U633" s="51"/>
      <c r="V633" s="51"/>
      <c r="W633" s="51"/>
    </row>
    <row r="634" spans="2:23" ht="14.25" customHeight="1" x14ac:dyDescent="0.3">
      <c r="B634" s="51"/>
      <c r="I634" s="52"/>
      <c r="J634" s="52"/>
      <c r="K634" s="52"/>
      <c r="L634" s="52"/>
      <c r="U634" s="51"/>
      <c r="V634" s="51"/>
      <c r="W634" s="51"/>
    </row>
    <row r="635" spans="2:23" ht="14.25" customHeight="1" x14ac:dyDescent="0.3">
      <c r="B635" s="51"/>
      <c r="I635" s="52"/>
      <c r="J635" s="52"/>
      <c r="K635" s="52"/>
      <c r="L635" s="52"/>
      <c r="U635" s="51"/>
      <c r="V635" s="51"/>
      <c r="W635" s="51"/>
    </row>
    <row r="636" spans="2:23" ht="14.25" customHeight="1" x14ac:dyDescent="0.3">
      <c r="B636" s="51"/>
      <c r="I636" s="52"/>
      <c r="J636" s="52"/>
      <c r="K636" s="52"/>
      <c r="L636" s="52"/>
      <c r="U636" s="51"/>
      <c r="V636" s="51"/>
      <c r="W636" s="51"/>
    </row>
    <row r="637" spans="2:23" ht="14.25" customHeight="1" x14ac:dyDescent="0.3">
      <c r="B637" s="51"/>
      <c r="I637" s="52"/>
      <c r="J637" s="52"/>
      <c r="K637" s="52"/>
      <c r="L637" s="52"/>
      <c r="U637" s="51"/>
      <c r="V637" s="51"/>
      <c r="W637" s="51"/>
    </row>
    <row r="638" spans="2:23" ht="14.25" customHeight="1" x14ac:dyDescent="0.3">
      <c r="B638" s="51"/>
      <c r="I638" s="52"/>
      <c r="J638" s="52"/>
      <c r="K638" s="52"/>
      <c r="L638" s="52"/>
      <c r="U638" s="51"/>
      <c r="V638" s="51"/>
      <c r="W638" s="51"/>
    </row>
    <row r="639" spans="2:23" ht="14.25" customHeight="1" x14ac:dyDescent="0.3">
      <c r="B639" s="51"/>
      <c r="I639" s="52"/>
      <c r="J639" s="52"/>
      <c r="K639" s="52"/>
      <c r="L639" s="52"/>
      <c r="U639" s="51"/>
      <c r="V639" s="51"/>
      <c r="W639" s="51"/>
    </row>
    <row r="640" spans="2:23" ht="14.25" customHeight="1" x14ac:dyDescent="0.3">
      <c r="B640" s="51"/>
      <c r="I640" s="52"/>
      <c r="J640" s="52"/>
      <c r="K640" s="52"/>
      <c r="L640" s="52"/>
      <c r="U640" s="51"/>
      <c r="V640" s="51"/>
      <c r="W640" s="51"/>
    </row>
    <row r="641" spans="2:23" ht="14.25" customHeight="1" x14ac:dyDescent="0.3">
      <c r="B641" s="51"/>
      <c r="I641" s="52"/>
      <c r="J641" s="52"/>
      <c r="K641" s="52"/>
      <c r="L641" s="52"/>
      <c r="U641" s="51"/>
      <c r="V641" s="51"/>
      <c r="W641" s="51"/>
    </row>
    <row r="642" spans="2:23" ht="14.25" customHeight="1" x14ac:dyDescent="0.3">
      <c r="B642" s="51"/>
      <c r="I642" s="52"/>
      <c r="J642" s="52"/>
      <c r="K642" s="52"/>
      <c r="L642" s="52"/>
      <c r="U642" s="51"/>
      <c r="V642" s="51"/>
      <c r="W642" s="51"/>
    </row>
    <row r="643" spans="2:23" ht="14.25" customHeight="1" x14ac:dyDescent="0.3">
      <c r="B643" s="51"/>
      <c r="I643" s="52"/>
      <c r="J643" s="52"/>
      <c r="K643" s="52"/>
      <c r="L643" s="52"/>
      <c r="U643" s="51"/>
      <c r="V643" s="51"/>
      <c r="W643" s="51"/>
    </row>
    <row r="644" spans="2:23" ht="14.25" customHeight="1" x14ac:dyDescent="0.3">
      <c r="B644" s="51"/>
      <c r="I644" s="52"/>
      <c r="J644" s="52"/>
      <c r="K644" s="52"/>
      <c r="L644" s="52"/>
      <c r="U644" s="51"/>
      <c r="V644" s="51"/>
      <c r="W644" s="51"/>
    </row>
    <row r="645" spans="2:23" ht="14.25" customHeight="1" x14ac:dyDescent="0.3">
      <c r="B645" s="51"/>
      <c r="I645" s="52"/>
      <c r="J645" s="52"/>
      <c r="K645" s="52"/>
      <c r="L645" s="52"/>
      <c r="U645" s="51"/>
      <c r="V645" s="51"/>
      <c r="W645" s="51"/>
    </row>
    <row r="646" spans="2:23" ht="14.25" customHeight="1" x14ac:dyDescent="0.3">
      <c r="B646" s="51"/>
      <c r="I646" s="52"/>
      <c r="J646" s="52"/>
      <c r="K646" s="52"/>
      <c r="L646" s="52"/>
      <c r="U646" s="51"/>
      <c r="V646" s="51"/>
      <c r="W646" s="51"/>
    </row>
    <row r="647" spans="2:23" ht="14.25" customHeight="1" x14ac:dyDescent="0.3">
      <c r="B647" s="51"/>
      <c r="I647" s="52"/>
      <c r="J647" s="52"/>
      <c r="K647" s="52"/>
      <c r="L647" s="52"/>
      <c r="U647" s="51"/>
      <c r="V647" s="51"/>
      <c r="W647" s="51"/>
    </row>
    <row r="648" spans="2:23" ht="14.25" customHeight="1" x14ac:dyDescent="0.3">
      <c r="B648" s="51"/>
      <c r="I648" s="52"/>
      <c r="J648" s="52"/>
      <c r="K648" s="52"/>
      <c r="L648" s="52"/>
      <c r="U648" s="51"/>
      <c r="V648" s="51"/>
      <c r="W648" s="51"/>
    </row>
    <row r="649" spans="2:23" ht="14.25" customHeight="1" x14ac:dyDescent="0.3">
      <c r="B649" s="51"/>
      <c r="I649" s="52"/>
      <c r="J649" s="52"/>
      <c r="K649" s="52"/>
      <c r="L649" s="52"/>
      <c r="U649" s="51"/>
      <c r="V649" s="51"/>
      <c r="W649" s="51"/>
    </row>
    <row r="650" spans="2:23" ht="14.25" customHeight="1" x14ac:dyDescent="0.3">
      <c r="B650" s="51"/>
      <c r="I650" s="52"/>
      <c r="J650" s="52"/>
      <c r="K650" s="52"/>
      <c r="L650" s="52"/>
      <c r="U650" s="51"/>
      <c r="V650" s="51"/>
      <c r="W650" s="51"/>
    </row>
    <row r="651" spans="2:23" ht="14.25" customHeight="1" x14ac:dyDescent="0.3">
      <c r="B651" s="51"/>
      <c r="I651" s="52"/>
      <c r="J651" s="52"/>
      <c r="K651" s="52"/>
      <c r="L651" s="52"/>
      <c r="U651" s="51"/>
      <c r="V651" s="51"/>
      <c r="W651" s="51"/>
    </row>
    <row r="652" spans="2:23" ht="14.25" customHeight="1" x14ac:dyDescent="0.3">
      <c r="B652" s="51"/>
      <c r="I652" s="52"/>
      <c r="J652" s="52"/>
      <c r="K652" s="52"/>
      <c r="L652" s="52"/>
      <c r="U652" s="51"/>
      <c r="V652" s="51"/>
      <c r="W652" s="51"/>
    </row>
    <row r="653" spans="2:23" ht="14.25" customHeight="1" x14ac:dyDescent="0.3">
      <c r="B653" s="51"/>
      <c r="I653" s="52"/>
      <c r="J653" s="52"/>
      <c r="K653" s="52"/>
      <c r="L653" s="52"/>
      <c r="U653" s="51"/>
      <c r="V653" s="51"/>
      <c r="W653" s="51"/>
    </row>
    <row r="654" spans="2:23" ht="14.25" customHeight="1" x14ac:dyDescent="0.3">
      <c r="B654" s="51"/>
      <c r="I654" s="52"/>
      <c r="J654" s="52"/>
      <c r="K654" s="52"/>
      <c r="L654" s="52"/>
      <c r="U654" s="51"/>
      <c r="V654" s="51"/>
      <c r="W654" s="51"/>
    </row>
    <row r="655" spans="2:23" ht="14.25" customHeight="1" x14ac:dyDescent="0.3">
      <c r="B655" s="51"/>
      <c r="I655" s="52"/>
      <c r="J655" s="52"/>
      <c r="K655" s="52"/>
      <c r="L655" s="52"/>
      <c r="U655" s="51"/>
      <c r="V655" s="51"/>
      <c r="W655" s="51"/>
    </row>
    <row r="656" spans="2:23" ht="14.25" customHeight="1" x14ac:dyDescent="0.3">
      <c r="B656" s="51"/>
      <c r="I656" s="52"/>
      <c r="J656" s="52"/>
      <c r="K656" s="52"/>
      <c r="L656" s="52"/>
      <c r="U656" s="51"/>
      <c r="V656" s="51"/>
      <c r="W656" s="51"/>
    </row>
    <row r="657" spans="2:23" ht="14.25" customHeight="1" x14ac:dyDescent="0.3">
      <c r="B657" s="51"/>
      <c r="I657" s="52"/>
      <c r="J657" s="52"/>
      <c r="K657" s="52"/>
      <c r="L657" s="52"/>
      <c r="U657" s="51"/>
      <c r="V657" s="51"/>
      <c r="W657" s="51"/>
    </row>
    <row r="658" spans="2:23" ht="14.25" customHeight="1" x14ac:dyDescent="0.3">
      <c r="B658" s="51"/>
      <c r="I658" s="52"/>
      <c r="J658" s="52"/>
      <c r="K658" s="52"/>
      <c r="L658" s="52"/>
      <c r="U658" s="51"/>
      <c r="V658" s="51"/>
      <c r="W658" s="51"/>
    </row>
    <row r="659" spans="2:23" ht="14.25" customHeight="1" x14ac:dyDescent="0.3">
      <c r="B659" s="51"/>
      <c r="I659" s="52"/>
      <c r="J659" s="52"/>
      <c r="K659" s="52"/>
      <c r="L659" s="52"/>
      <c r="U659" s="51"/>
      <c r="V659" s="51"/>
      <c r="W659" s="51"/>
    </row>
    <row r="660" spans="2:23" ht="14.25" customHeight="1" x14ac:dyDescent="0.3">
      <c r="B660" s="51"/>
      <c r="I660" s="52"/>
      <c r="J660" s="52"/>
      <c r="K660" s="52"/>
      <c r="L660" s="52"/>
      <c r="U660" s="51"/>
      <c r="V660" s="51"/>
      <c r="W660" s="51"/>
    </row>
    <row r="661" spans="2:23" ht="14.25" customHeight="1" x14ac:dyDescent="0.3">
      <c r="B661" s="51"/>
      <c r="I661" s="52"/>
      <c r="J661" s="52"/>
      <c r="K661" s="52"/>
      <c r="L661" s="52"/>
      <c r="U661" s="51"/>
      <c r="V661" s="51"/>
      <c r="W661" s="51"/>
    </row>
    <row r="662" spans="2:23" ht="14.25" customHeight="1" x14ac:dyDescent="0.3">
      <c r="B662" s="51"/>
      <c r="I662" s="52"/>
      <c r="J662" s="52"/>
      <c r="K662" s="52"/>
      <c r="L662" s="52"/>
      <c r="U662" s="51"/>
      <c r="V662" s="51"/>
      <c r="W662" s="51"/>
    </row>
    <row r="663" spans="2:23" ht="14.25" customHeight="1" x14ac:dyDescent="0.3">
      <c r="B663" s="51"/>
      <c r="I663" s="52"/>
      <c r="J663" s="52"/>
      <c r="K663" s="52"/>
      <c r="L663" s="52"/>
      <c r="U663" s="51"/>
      <c r="V663" s="51"/>
      <c r="W663" s="51"/>
    </row>
    <row r="664" spans="2:23" ht="14.25" customHeight="1" x14ac:dyDescent="0.3">
      <c r="B664" s="51"/>
      <c r="I664" s="52"/>
      <c r="J664" s="52"/>
      <c r="K664" s="52"/>
      <c r="L664" s="52"/>
      <c r="U664" s="51"/>
      <c r="V664" s="51"/>
      <c r="W664" s="51"/>
    </row>
    <row r="665" spans="2:23" ht="14.25" customHeight="1" x14ac:dyDescent="0.3">
      <c r="B665" s="51"/>
      <c r="I665" s="52"/>
      <c r="J665" s="52"/>
      <c r="K665" s="52"/>
      <c r="L665" s="52"/>
      <c r="U665" s="51"/>
      <c r="V665" s="51"/>
      <c r="W665" s="51"/>
    </row>
    <row r="666" spans="2:23" ht="14.25" customHeight="1" x14ac:dyDescent="0.3">
      <c r="B666" s="51"/>
      <c r="I666" s="52"/>
      <c r="J666" s="52"/>
      <c r="K666" s="52"/>
      <c r="L666" s="52"/>
      <c r="U666" s="51"/>
      <c r="V666" s="51"/>
      <c r="W666" s="51"/>
    </row>
    <row r="667" spans="2:23" ht="14.25" customHeight="1" x14ac:dyDescent="0.3">
      <c r="B667" s="51"/>
      <c r="I667" s="52"/>
      <c r="J667" s="52"/>
      <c r="K667" s="52"/>
      <c r="L667" s="52"/>
      <c r="U667" s="51"/>
      <c r="V667" s="51"/>
      <c r="W667" s="51"/>
    </row>
    <row r="668" spans="2:23" ht="14.25" customHeight="1" x14ac:dyDescent="0.3">
      <c r="B668" s="51"/>
      <c r="I668" s="52"/>
      <c r="J668" s="52"/>
      <c r="K668" s="52"/>
      <c r="L668" s="52"/>
      <c r="U668" s="51"/>
      <c r="V668" s="51"/>
      <c r="W668" s="51"/>
    </row>
    <row r="669" spans="2:23" ht="14.25" customHeight="1" x14ac:dyDescent="0.3">
      <c r="B669" s="51"/>
      <c r="I669" s="52"/>
      <c r="J669" s="52"/>
      <c r="K669" s="52"/>
      <c r="L669" s="52"/>
      <c r="U669" s="51"/>
      <c r="V669" s="51"/>
      <c r="W669" s="51"/>
    </row>
    <row r="670" spans="2:23" ht="14.25" customHeight="1" x14ac:dyDescent="0.3">
      <c r="B670" s="51"/>
      <c r="I670" s="52"/>
      <c r="J670" s="52"/>
      <c r="K670" s="52"/>
      <c r="L670" s="52"/>
      <c r="U670" s="51"/>
      <c r="V670" s="51"/>
      <c r="W670" s="51"/>
    </row>
    <row r="671" spans="2:23" ht="14.25" customHeight="1" x14ac:dyDescent="0.3">
      <c r="B671" s="51"/>
      <c r="I671" s="52"/>
      <c r="J671" s="52"/>
      <c r="K671" s="52"/>
      <c r="L671" s="52"/>
      <c r="U671" s="51"/>
      <c r="V671" s="51"/>
      <c r="W671" s="51"/>
    </row>
    <row r="672" spans="2:23" ht="14.25" customHeight="1" x14ac:dyDescent="0.3">
      <c r="B672" s="51"/>
      <c r="I672" s="52"/>
      <c r="J672" s="52"/>
      <c r="K672" s="52"/>
      <c r="L672" s="52"/>
      <c r="U672" s="51"/>
      <c r="V672" s="51"/>
      <c r="W672" s="51"/>
    </row>
    <row r="673" spans="2:23" ht="14.25" customHeight="1" x14ac:dyDescent="0.3">
      <c r="B673" s="51"/>
      <c r="I673" s="52"/>
      <c r="J673" s="52"/>
      <c r="K673" s="52"/>
      <c r="L673" s="52"/>
      <c r="U673" s="51"/>
      <c r="V673" s="51"/>
      <c r="W673" s="51"/>
    </row>
    <row r="674" spans="2:23" ht="14.25" customHeight="1" x14ac:dyDescent="0.3">
      <c r="B674" s="51"/>
      <c r="I674" s="52"/>
      <c r="J674" s="52"/>
      <c r="K674" s="52"/>
      <c r="L674" s="52"/>
      <c r="U674" s="51"/>
      <c r="V674" s="51"/>
      <c r="W674" s="51"/>
    </row>
    <row r="675" spans="2:23" ht="14.25" customHeight="1" x14ac:dyDescent="0.3">
      <c r="B675" s="51"/>
      <c r="I675" s="52"/>
      <c r="J675" s="52"/>
      <c r="K675" s="52"/>
      <c r="L675" s="52"/>
      <c r="U675" s="51"/>
      <c r="V675" s="51"/>
      <c r="W675" s="51"/>
    </row>
    <row r="676" spans="2:23" ht="14.25" customHeight="1" x14ac:dyDescent="0.3">
      <c r="B676" s="51"/>
      <c r="I676" s="52"/>
      <c r="J676" s="52"/>
      <c r="K676" s="52"/>
      <c r="L676" s="52"/>
      <c r="U676" s="51"/>
      <c r="V676" s="51"/>
      <c r="W676" s="51"/>
    </row>
    <row r="677" spans="2:23" ht="14.25" customHeight="1" x14ac:dyDescent="0.3">
      <c r="B677" s="51"/>
      <c r="I677" s="52"/>
      <c r="J677" s="52"/>
      <c r="K677" s="52"/>
      <c r="L677" s="52"/>
      <c r="U677" s="51"/>
      <c r="V677" s="51"/>
      <c r="W677" s="51"/>
    </row>
    <row r="678" spans="2:23" ht="14.25" customHeight="1" x14ac:dyDescent="0.3">
      <c r="B678" s="51"/>
      <c r="I678" s="52"/>
      <c r="J678" s="52"/>
      <c r="K678" s="52"/>
      <c r="L678" s="52"/>
      <c r="U678" s="51"/>
      <c r="V678" s="51"/>
      <c r="W678" s="51"/>
    </row>
    <row r="679" spans="2:23" ht="14.25" customHeight="1" x14ac:dyDescent="0.3">
      <c r="B679" s="51"/>
      <c r="I679" s="52"/>
      <c r="J679" s="52"/>
      <c r="K679" s="52"/>
      <c r="L679" s="52"/>
      <c r="U679" s="51"/>
      <c r="V679" s="51"/>
      <c r="W679" s="51"/>
    </row>
    <row r="680" spans="2:23" ht="14.25" customHeight="1" x14ac:dyDescent="0.3">
      <c r="B680" s="51"/>
      <c r="I680" s="52"/>
      <c r="J680" s="52"/>
      <c r="K680" s="52"/>
      <c r="L680" s="52"/>
      <c r="U680" s="51"/>
      <c r="V680" s="51"/>
      <c r="W680" s="51"/>
    </row>
    <row r="681" spans="2:23" ht="14.25" customHeight="1" x14ac:dyDescent="0.3">
      <c r="B681" s="51"/>
      <c r="I681" s="52"/>
      <c r="J681" s="52"/>
      <c r="K681" s="52"/>
      <c r="L681" s="52"/>
      <c r="U681" s="51"/>
      <c r="V681" s="51"/>
      <c r="W681" s="51"/>
    </row>
    <row r="682" spans="2:23" ht="14.25" customHeight="1" x14ac:dyDescent="0.3">
      <c r="B682" s="51"/>
      <c r="I682" s="52"/>
      <c r="J682" s="52"/>
      <c r="K682" s="52"/>
      <c r="L682" s="52"/>
      <c r="U682" s="51"/>
      <c r="V682" s="51"/>
      <c r="W682" s="51"/>
    </row>
    <row r="683" spans="2:23" ht="14.25" customHeight="1" x14ac:dyDescent="0.3">
      <c r="B683" s="51"/>
      <c r="I683" s="52"/>
      <c r="J683" s="52"/>
      <c r="K683" s="52"/>
      <c r="L683" s="52"/>
      <c r="U683" s="51"/>
      <c r="V683" s="51"/>
      <c r="W683" s="51"/>
    </row>
    <row r="684" spans="2:23" ht="14.25" customHeight="1" x14ac:dyDescent="0.3">
      <c r="B684" s="51"/>
      <c r="I684" s="52"/>
      <c r="J684" s="52"/>
      <c r="K684" s="52"/>
      <c r="L684" s="52"/>
      <c r="U684" s="51"/>
      <c r="V684" s="51"/>
      <c r="W684" s="51"/>
    </row>
    <row r="685" spans="2:23" ht="14.25" customHeight="1" x14ac:dyDescent="0.3">
      <c r="B685" s="51"/>
      <c r="I685" s="52"/>
      <c r="J685" s="52"/>
      <c r="K685" s="52"/>
      <c r="L685" s="52"/>
      <c r="U685" s="51"/>
      <c r="V685" s="51"/>
      <c r="W685" s="51"/>
    </row>
    <row r="686" spans="2:23" ht="14.25" customHeight="1" x14ac:dyDescent="0.3">
      <c r="B686" s="51"/>
      <c r="I686" s="52"/>
      <c r="J686" s="52"/>
      <c r="K686" s="52"/>
      <c r="L686" s="52"/>
      <c r="U686" s="51"/>
      <c r="V686" s="51"/>
      <c r="W686" s="51"/>
    </row>
    <row r="687" spans="2:23" ht="14.25" customHeight="1" x14ac:dyDescent="0.3">
      <c r="B687" s="51"/>
      <c r="I687" s="52"/>
      <c r="J687" s="52"/>
      <c r="K687" s="52"/>
      <c r="L687" s="52"/>
      <c r="U687" s="51"/>
      <c r="V687" s="51"/>
      <c r="W687" s="51"/>
    </row>
    <row r="688" spans="2:23" ht="14.25" customHeight="1" x14ac:dyDescent="0.3">
      <c r="B688" s="51"/>
      <c r="I688" s="52"/>
      <c r="J688" s="52"/>
      <c r="K688" s="52"/>
      <c r="L688" s="52"/>
      <c r="U688" s="51"/>
      <c r="V688" s="51"/>
      <c r="W688" s="51"/>
    </row>
    <row r="689" spans="2:23" ht="14.25" customHeight="1" x14ac:dyDescent="0.3">
      <c r="B689" s="51"/>
      <c r="I689" s="52"/>
      <c r="J689" s="52"/>
      <c r="K689" s="52"/>
      <c r="L689" s="52"/>
      <c r="U689" s="51"/>
      <c r="V689" s="51"/>
      <c r="W689" s="51"/>
    </row>
    <row r="690" spans="2:23" ht="14.25" customHeight="1" x14ac:dyDescent="0.3">
      <c r="B690" s="51"/>
      <c r="I690" s="52"/>
      <c r="J690" s="52"/>
      <c r="K690" s="52"/>
      <c r="L690" s="52"/>
      <c r="U690" s="51"/>
      <c r="V690" s="51"/>
      <c r="W690" s="51"/>
    </row>
    <row r="691" spans="2:23" ht="14.25" customHeight="1" x14ac:dyDescent="0.3">
      <c r="B691" s="51"/>
      <c r="I691" s="52"/>
      <c r="J691" s="52"/>
      <c r="K691" s="52"/>
      <c r="L691" s="52"/>
      <c r="U691" s="51"/>
      <c r="V691" s="51"/>
      <c r="W691" s="51"/>
    </row>
    <row r="692" spans="2:23" ht="14.25" customHeight="1" x14ac:dyDescent="0.3">
      <c r="B692" s="51"/>
      <c r="I692" s="52"/>
      <c r="J692" s="52"/>
      <c r="K692" s="52"/>
      <c r="L692" s="52"/>
      <c r="U692" s="51"/>
      <c r="V692" s="51"/>
      <c r="W692" s="51"/>
    </row>
    <row r="693" spans="2:23" ht="14.25" customHeight="1" x14ac:dyDescent="0.3">
      <c r="B693" s="51"/>
      <c r="I693" s="52"/>
      <c r="J693" s="52"/>
      <c r="K693" s="52"/>
      <c r="L693" s="52"/>
      <c r="U693" s="51"/>
      <c r="V693" s="51"/>
      <c r="W693" s="51"/>
    </row>
    <row r="694" spans="2:23" ht="14.25" customHeight="1" x14ac:dyDescent="0.3">
      <c r="B694" s="51"/>
      <c r="I694" s="52"/>
      <c r="J694" s="52"/>
      <c r="K694" s="52"/>
      <c r="L694" s="52"/>
      <c r="U694" s="51"/>
      <c r="V694" s="51"/>
      <c r="W694" s="51"/>
    </row>
    <row r="695" spans="2:23" ht="14.25" customHeight="1" x14ac:dyDescent="0.3">
      <c r="B695" s="51"/>
      <c r="I695" s="52"/>
      <c r="J695" s="52"/>
      <c r="K695" s="52"/>
      <c r="L695" s="52"/>
      <c r="U695" s="51"/>
      <c r="V695" s="51"/>
      <c r="W695" s="51"/>
    </row>
    <row r="696" spans="2:23" ht="14.25" customHeight="1" x14ac:dyDescent="0.3">
      <c r="B696" s="51"/>
      <c r="I696" s="52"/>
      <c r="J696" s="52"/>
      <c r="K696" s="52"/>
      <c r="L696" s="52"/>
      <c r="U696" s="51"/>
      <c r="V696" s="51"/>
      <c r="W696" s="51"/>
    </row>
    <row r="697" spans="2:23" ht="14.25" customHeight="1" x14ac:dyDescent="0.3">
      <c r="B697" s="51"/>
      <c r="I697" s="52"/>
      <c r="J697" s="52"/>
      <c r="K697" s="52"/>
      <c r="L697" s="52"/>
      <c r="U697" s="51"/>
      <c r="V697" s="51"/>
      <c r="W697" s="51"/>
    </row>
    <row r="698" spans="2:23" ht="14.25" customHeight="1" x14ac:dyDescent="0.3">
      <c r="B698" s="51"/>
      <c r="I698" s="52"/>
      <c r="J698" s="52"/>
      <c r="K698" s="52"/>
      <c r="L698" s="52"/>
      <c r="U698" s="51"/>
      <c r="V698" s="51"/>
      <c r="W698" s="51"/>
    </row>
    <row r="699" spans="2:23" ht="14.25" customHeight="1" x14ac:dyDescent="0.3">
      <c r="B699" s="51"/>
      <c r="I699" s="52"/>
      <c r="J699" s="52"/>
      <c r="K699" s="52"/>
      <c r="L699" s="52"/>
      <c r="U699" s="51"/>
      <c r="V699" s="51"/>
      <c r="W699" s="51"/>
    </row>
    <row r="700" spans="2:23" ht="14.25" customHeight="1" x14ac:dyDescent="0.3">
      <c r="B700" s="51"/>
      <c r="I700" s="52"/>
      <c r="J700" s="52"/>
      <c r="K700" s="52"/>
      <c r="L700" s="52"/>
      <c r="U700" s="51"/>
      <c r="V700" s="51"/>
      <c r="W700" s="51"/>
    </row>
    <row r="701" spans="2:23" ht="14.25" customHeight="1" x14ac:dyDescent="0.3">
      <c r="B701" s="51"/>
      <c r="I701" s="52"/>
      <c r="J701" s="52"/>
      <c r="K701" s="52"/>
      <c r="L701" s="52"/>
      <c r="U701" s="51"/>
      <c r="V701" s="51"/>
      <c r="W701" s="51"/>
    </row>
    <row r="702" spans="2:23" ht="14.25" customHeight="1" x14ac:dyDescent="0.3">
      <c r="B702" s="51"/>
      <c r="I702" s="52"/>
      <c r="J702" s="52"/>
      <c r="K702" s="52"/>
      <c r="L702" s="52"/>
      <c r="U702" s="51"/>
      <c r="V702" s="51"/>
      <c r="W702" s="51"/>
    </row>
    <row r="703" spans="2:23" ht="14.25" customHeight="1" x14ac:dyDescent="0.3">
      <c r="B703" s="51"/>
      <c r="I703" s="52"/>
      <c r="J703" s="52"/>
      <c r="K703" s="52"/>
      <c r="L703" s="52"/>
      <c r="U703" s="51"/>
      <c r="V703" s="51"/>
      <c r="W703" s="51"/>
    </row>
    <row r="704" spans="2:23" ht="14.25" customHeight="1" x14ac:dyDescent="0.3">
      <c r="B704" s="51"/>
      <c r="I704" s="52"/>
      <c r="J704" s="52"/>
      <c r="K704" s="52"/>
      <c r="L704" s="52"/>
      <c r="U704" s="51"/>
      <c r="V704" s="51"/>
      <c r="W704" s="51"/>
    </row>
    <row r="705" spans="2:23" ht="14.25" customHeight="1" x14ac:dyDescent="0.3">
      <c r="B705" s="51"/>
      <c r="I705" s="52"/>
      <c r="J705" s="52"/>
      <c r="K705" s="52"/>
      <c r="L705" s="52"/>
      <c r="U705" s="51"/>
      <c r="V705" s="51"/>
      <c r="W705" s="51"/>
    </row>
    <row r="706" spans="2:23" ht="14.25" customHeight="1" x14ac:dyDescent="0.3">
      <c r="B706" s="51"/>
      <c r="I706" s="52"/>
      <c r="J706" s="52"/>
      <c r="K706" s="52"/>
      <c r="L706" s="52"/>
      <c r="U706" s="51"/>
      <c r="V706" s="51"/>
      <c r="W706" s="51"/>
    </row>
    <row r="707" spans="2:23" ht="14.25" customHeight="1" x14ac:dyDescent="0.3">
      <c r="B707" s="51"/>
      <c r="I707" s="52"/>
      <c r="J707" s="52"/>
      <c r="K707" s="52"/>
      <c r="L707" s="52"/>
      <c r="U707" s="51"/>
      <c r="V707" s="51"/>
      <c r="W707" s="51"/>
    </row>
    <row r="708" spans="2:23" ht="14.25" customHeight="1" x14ac:dyDescent="0.3">
      <c r="B708" s="51"/>
      <c r="I708" s="52"/>
      <c r="J708" s="52"/>
      <c r="K708" s="52"/>
      <c r="L708" s="52"/>
      <c r="U708" s="51"/>
      <c r="V708" s="51"/>
      <c r="W708" s="51"/>
    </row>
    <row r="709" spans="2:23" ht="14.25" customHeight="1" x14ac:dyDescent="0.3">
      <c r="B709" s="51"/>
      <c r="I709" s="52"/>
      <c r="J709" s="52"/>
      <c r="K709" s="52"/>
      <c r="L709" s="52"/>
      <c r="U709" s="51"/>
      <c r="V709" s="51"/>
      <c r="W709" s="51"/>
    </row>
    <row r="710" spans="2:23" ht="14.25" customHeight="1" x14ac:dyDescent="0.3">
      <c r="B710" s="51"/>
      <c r="I710" s="52"/>
      <c r="J710" s="52"/>
      <c r="K710" s="52"/>
      <c r="L710" s="52"/>
      <c r="U710" s="51"/>
      <c r="V710" s="51"/>
      <c r="W710" s="51"/>
    </row>
    <row r="711" spans="2:23" ht="14.25" customHeight="1" x14ac:dyDescent="0.3">
      <c r="B711" s="51"/>
      <c r="I711" s="52"/>
      <c r="J711" s="52"/>
      <c r="K711" s="52"/>
      <c r="L711" s="52"/>
      <c r="U711" s="51"/>
      <c r="V711" s="51"/>
      <c r="W711" s="51"/>
    </row>
    <row r="712" spans="2:23" ht="14.25" customHeight="1" x14ac:dyDescent="0.3">
      <c r="B712" s="51"/>
      <c r="I712" s="52"/>
      <c r="J712" s="52"/>
      <c r="K712" s="52"/>
      <c r="L712" s="52"/>
      <c r="U712" s="51"/>
      <c r="V712" s="51"/>
      <c r="W712" s="51"/>
    </row>
    <row r="713" spans="2:23" ht="14.25" customHeight="1" x14ac:dyDescent="0.3">
      <c r="B713" s="51"/>
      <c r="I713" s="52"/>
      <c r="J713" s="52"/>
      <c r="K713" s="52"/>
      <c r="L713" s="52"/>
      <c r="U713" s="51"/>
      <c r="V713" s="51"/>
      <c r="W713" s="51"/>
    </row>
    <row r="714" spans="2:23" ht="14.25" customHeight="1" x14ac:dyDescent="0.3">
      <c r="B714" s="51"/>
      <c r="I714" s="52"/>
      <c r="J714" s="52"/>
      <c r="K714" s="52"/>
      <c r="L714" s="52"/>
      <c r="U714" s="51"/>
      <c r="V714" s="51"/>
      <c r="W714" s="51"/>
    </row>
    <row r="715" spans="2:23" ht="14.25" customHeight="1" x14ac:dyDescent="0.3">
      <c r="B715" s="51"/>
      <c r="I715" s="52"/>
      <c r="J715" s="52"/>
      <c r="K715" s="52"/>
      <c r="L715" s="52"/>
      <c r="U715" s="51"/>
      <c r="V715" s="51"/>
      <c r="W715" s="51"/>
    </row>
    <row r="716" spans="2:23" ht="14.25" customHeight="1" x14ac:dyDescent="0.3">
      <c r="B716" s="51"/>
      <c r="I716" s="52"/>
      <c r="J716" s="52"/>
      <c r="K716" s="52"/>
      <c r="L716" s="52"/>
      <c r="U716" s="51"/>
      <c r="V716" s="51"/>
      <c r="W716" s="51"/>
    </row>
    <row r="717" spans="2:23" ht="14.25" customHeight="1" x14ac:dyDescent="0.3">
      <c r="B717" s="51"/>
      <c r="I717" s="52"/>
      <c r="J717" s="52"/>
      <c r="K717" s="52"/>
      <c r="L717" s="52"/>
      <c r="U717" s="51"/>
      <c r="V717" s="51"/>
      <c r="W717" s="51"/>
    </row>
    <row r="718" spans="2:23" ht="14.25" customHeight="1" x14ac:dyDescent="0.3">
      <c r="B718" s="51"/>
      <c r="I718" s="52"/>
      <c r="J718" s="52"/>
      <c r="K718" s="52"/>
      <c r="L718" s="52"/>
      <c r="U718" s="51"/>
      <c r="V718" s="51"/>
      <c r="W718" s="51"/>
    </row>
    <row r="719" spans="2:23" ht="14.25" customHeight="1" x14ac:dyDescent="0.3">
      <c r="B719" s="51"/>
      <c r="I719" s="52"/>
      <c r="J719" s="52"/>
      <c r="K719" s="52"/>
      <c r="L719" s="52"/>
      <c r="U719" s="51"/>
      <c r="V719" s="51"/>
      <c r="W719" s="51"/>
    </row>
    <row r="720" spans="2:23" ht="14.25" customHeight="1" x14ac:dyDescent="0.3">
      <c r="B720" s="51"/>
      <c r="I720" s="52"/>
      <c r="J720" s="52"/>
      <c r="K720" s="52"/>
      <c r="L720" s="52"/>
      <c r="U720" s="51"/>
      <c r="V720" s="51"/>
      <c r="W720" s="51"/>
    </row>
    <row r="721" spans="2:23" ht="14.25" customHeight="1" x14ac:dyDescent="0.3">
      <c r="B721" s="51"/>
      <c r="I721" s="52"/>
      <c r="J721" s="52"/>
      <c r="K721" s="52"/>
      <c r="L721" s="52"/>
      <c r="U721" s="51"/>
      <c r="V721" s="51"/>
      <c r="W721" s="51"/>
    </row>
    <row r="722" spans="2:23" ht="14.25" customHeight="1" x14ac:dyDescent="0.3">
      <c r="B722" s="51"/>
      <c r="I722" s="52"/>
      <c r="J722" s="52"/>
      <c r="K722" s="52"/>
      <c r="L722" s="52"/>
      <c r="U722" s="51"/>
      <c r="V722" s="51"/>
      <c r="W722" s="51"/>
    </row>
    <row r="723" spans="2:23" ht="14.25" customHeight="1" x14ac:dyDescent="0.3">
      <c r="B723" s="51"/>
      <c r="I723" s="52"/>
      <c r="J723" s="52"/>
      <c r="K723" s="52"/>
      <c r="L723" s="52"/>
      <c r="U723" s="51"/>
      <c r="V723" s="51"/>
      <c r="W723" s="51"/>
    </row>
    <row r="724" spans="2:23" ht="14.25" customHeight="1" x14ac:dyDescent="0.3">
      <c r="B724" s="51"/>
      <c r="I724" s="52"/>
      <c r="J724" s="52"/>
      <c r="K724" s="52"/>
      <c r="L724" s="52"/>
      <c r="U724" s="51"/>
      <c r="V724" s="51"/>
      <c r="W724" s="51"/>
    </row>
    <row r="725" spans="2:23" ht="14.25" customHeight="1" x14ac:dyDescent="0.3">
      <c r="B725" s="51"/>
      <c r="I725" s="52"/>
      <c r="J725" s="52"/>
      <c r="K725" s="52"/>
      <c r="L725" s="52"/>
      <c r="U725" s="51"/>
      <c r="V725" s="51"/>
      <c r="W725" s="51"/>
    </row>
    <row r="726" spans="2:23" ht="14.25" customHeight="1" x14ac:dyDescent="0.3">
      <c r="B726" s="51"/>
      <c r="I726" s="52"/>
      <c r="J726" s="52"/>
      <c r="K726" s="52"/>
      <c r="L726" s="52"/>
      <c r="U726" s="51"/>
      <c r="V726" s="51"/>
      <c r="W726" s="51"/>
    </row>
    <row r="727" spans="2:23" ht="14.25" customHeight="1" x14ac:dyDescent="0.3">
      <c r="B727" s="51"/>
      <c r="I727" s="52"/>
      <c r="J727" s="52"/>
      <c r="K727" s="52"/>
      <c r="L727" s="52"/>
      <c r="U727" s="51"/>
      <c r="V727" s="51"/>
      <c r="W727" s="51"/>
    </row>
    <row r="728" spans="2:23" ht="14.25" customHeight="1" x14ac:dyDescent="0.3">
      <c r="B728" s="51"/>
      <c r="I728" s="52"/>
      <c r="J728" s="52"/>
      <c r="K728" s="52"/>
      <c r="L728" s="52"/>
      <c r="U728" s="51"/>
      <c r="V728" s="51"/>
      <c r="W728" s="51"/>
    </row>
    <row r="729" spans="2:23" ht="14.25" customHeight="1" x14ac:dyDescent="0.3">
      <c r="B729" s="51"/>
      <c r="I729" s="52"/>
      <c r="J729" s="52"/>
      <c r="K729" s="52"/>
      <c r="L729" s="52"/>
      <c r="U729" s="51"/>
      <c r="V729" s="51"/>
      <c r="W729" s="51"/>
    </row>
    <row r="730" spans="2:23" ht="14.25" customHeight="1" x14ac:dyDescent="0.3">
      <c r="B730" s="51"/>
      <c r="I730" s="52"/>
      <c r="J730" s="52"/>
      <c r="K730" s="52"/>
      <c r="L730" s="52"/>
      <c r="U730" s="51"/>
      <c r="V730" s="51"/>
      <c r="W730" s="51"/>
    </row>
    <row r="731" spans="2:23" ht="14.25" customHeight="1" x14ac:dyDescent="0.3">
      <c r="B731" s="51"/>
      <c r="I731" s="52"/>
      <c r="J731" s="52"/>
      <c r="K731" s="52"/>
      <c r="L731" s="52"/>
      <c r="U731" s="51"/>
      <c r="V731" s="51"/>
      <c r="W731" s="51"/>
    </row>
    <row r="732" spans="2:23" ht="14.25" customHeight="1" x14ac:dyDescent="0.3">
      <c r="B732" s="51"/>
      <c r="I732" s="52"/>
      <c r="J732" s="52"/>
      <c r="K732" s="52"/>
      <c r="L732" s="52"/>
      <c r="U732" s="51"/>
      <c r="V732" s="51"/>
      <c r="W732" s="51"/>
    </row>
    <row r="733" spans="2:23" ht="14.25" customHeight="1" x14ac:dyDescent="0.3">
      <c r="B733" s="51"/>
      <c r="I733" s="52"/>
      <c r="J733" s="52"/>
      <c r="K733" s="52"/>
      <c r="L733" s="52"/>
      <c r="U733" s="51"/>
      <c r="V733" s="51"/>
      <c r="W733" s="51"/>
    </row>
    <row r="734" spans="2:23" ht="14.25" customHeight="1" x14ac:dyDescent="0.3">
      <c r="B734" s="51"/>
      <c r="I734" s="52"/>
      <c r="J734" s="52"/>
      <c r="K734" s="52"/>
      <c r="L734" s="52"/>
      <c r="U734" s="51"/>
      <c r="V734" s="51"/>
      <c r="W734" s="51"/>
    </row>
    <row r="735" spans="2:23" ht="14.25" customHeight="1" x14ac:dyDescent="0.3">
      <c r="B735" s="51"/>
      <c r="I735" s="52"/>
      <c r="J735" s="52"/>
      <c r="K735" s="52"/>
      <c r="L735" s="52"/>
      <c r="U735" s="51"/>
      <c r="V735" s="51"/>
      <c r="W735" s="51"/>
    </row>
    <row r="736" spans="2:23" ht="14.25" customHeight="1" x14ac:dyDescent="0.3">
      <c r="B736" s="51"/>
      <c r="I736" s="52"/>
      <c r="J736" s="52"/>
      <c r="K736" s="52"/>
      <c r="L736" s="52"/>
      <c r="U736" s="51"/>
      <c r="V736" s="51"/>
      <c r="W736" s="51"/>
    </row>
    <row r="737" spans="2:23" ht="14.25" customHeight="1" x14ac:dyDescent="0.3">
      <c r="B737" s="51"/>
      <c r="I737" s="52"/>
      <c r="J737" s="52"/>
      <c r="K737" s="52"/>
      <c r="L737" s="52"/>
      <c r="U737" s="51"/>
      <c r="V737" s="51"/>
      <c r="W737" s="51"/>
    </row>
    <row r="738" spans="2:23" ht="14.25" customHeight="1" x14ac:dyDescent="0.3">
      <c r="B738" s="51"/>
      <c r="I738" s="52"/>
      <c r="J738" s="52"/>
      <c r="K738" s="52"/>
      <c r="L738" s="52"/>
      <c r="U738" s="51"/>
      <c r="V738" s="51"/>
      <c r="W738" s="51"/>
    </row>
    <row r="739" spans="2:23" ht="14.25" customHeight="1" x14ac:dyDescent="0.3">
      <c r="B739" s="51"/>
      <c r="I739" s="52"/>
      <c r="J739" s="52"/>
      <c r="K739" s="52"/>
      <c r="L739" s="52"/>
      <c r="U739" s="51"/>
      <c r="V739" s="51"/>
      <c r="W739" s="51"/>
    </row>
    <row r="740" spans="2:23" ht="14.25" customHeight="1" x14ac:dyDescent="0.3">
      <c r="B740" s="51"/>
      <c r="I740" s="52"/>
      <c r="J740" s="52"/>
      <c r="K740" s="52"/>
      <c r="L740" s="52"/>
      <c r="U740" s="51"/>
      <c r="V740" s="51"/>
      <c r="W740" s="51"/>
    </row>
    <row r="741" spans="2:23" ht="14.25" customHeight="1" x14ac:dyDescent="0.3">
      <c r="B741" s="51"/>
      <c r="I741" s="52"/>
      <c r="J741" s="52"/>
      <c r="K741" s="52"/>
      <c r="L741" s="52"/>
      <c r="U741" s="51"/>
      <c r="V741" s="51"/>
      <c r="W741" s="51"/>
    </row>
    <row r="742" spans="2:23" ht="14.25" customHeight="1" x14ac:dyDescent="0.3">
      <c r="B742" s="51"/>
      <c r="I742" s="52"/>
      <c r="J742" s="52"/>
      <c r="K742" s="52"/>
      <c r="L742" s="52"/>
      <c r="U742" s="51"/>
      <c r="V742" s="51"/>
      <c r="W742" s="51"/>
    </row>
    <row r="743" spans="2:23" ht="14.25" customHeight="1" x14ac:dyDescent="0.3">
      <c r="B743" s="51"/>
      <c r="I743" s="52"/>
      <c r="J743" s="52"/>
      <c r="K743" s="52"/>
      <c r="L743" s="52"/>
      <c r="U743" s="51"/>
      <c r="V743" s="51"/>
      <c r="W743" s="51"/>
    </row>
    <row r="744" spans="2:23" ht="14.25" customHeight="1" x14ac:dyDescent="0.3">
      <c r="B744" s="51"/>
      <c r="I744" s="52"/>
      <c r="J744" s="52"/>
      <c r="K744" s="52"/>
      <c r="L744" s="52"/>
      <c r="U744" s="51"/>
      <c r="V744" s="51"/>
      <c r="W744" s="51"/>
    </row>
    <row r="745" spans="2:23" ht="14.25" customHeight="1" x14ac:dyDescent="0.3">
      <c r="B745" s="51"/>
      <c r="I745" s="52"/>
      <c r="J745" s="52"/>
      <c r="K745" s="52"/>
      <c r="L745" s="52"/>
      <c r="U745" s="51"/>
      <c r="V745" s="51"/>
      <c r="W745" s="51"/>
    </row>
    <row r="746" spans="2:23" ht="14.25" customHeight="1" x14ac:dyDescent="0.3">
      <c r="B746" s="51"/>
      <c r="I746" s="52"/>
      <c r="J746" s="52"/>
      <c r="K746" s="52"/>
      <c r="L746" s="52"/>
      <c r="U746" s="51"/>
      <c r="V746" s="51"/>
      <c r="W746" s="51"/>
    </row>
    <row r="747" spans="2:23" ht="14.25" customHeight="1" x14ac:dyDescent="0.3">
      <c r="B747" s="51"/>
      <c r="I747" s="52"/>
      <c r="J747" s="52"/>
      <c r="K747" s="52"/>
      <c r="L747" s="52"/>
      <c r="U747" s="51"/>
      <c r="V747" s="51"/>
      <c r="W747" s="51"/>
    </row>
    <row r="748" spans="2:23" ht="14.25" customHeight="1" x14ac:dyDescent="0.3">
      <c r="B748" s="51"/>
      <c r="I748" s="52"/>
      <c r="J748" s="52"/>
      <c r="K748" s="52"/>
      <c r="L748" s="52"/>
      <c r="U748" s="51"/>
      <c r="V748" s="51"/>
      <c r="W748" s="51"/>
    </row>
    <row r="749" spans="2:23" ht="14.25" customHeight="1" x14ac:dyDescent="0.3">
      <c r="B749" s="51"/>
      <c r="I749" s="52"/>
      <c r="J749" s="52"/>
      <c r="K749" s="52"/>
      <c r="L749" s="52"/>
      <c r="U749" s="51"/>
      <c r="V749" s="51"/>
      <c r="W749" s="51"/>
    </row>
    <row r="750" spans="2:23" ht="14.25" customHeight="1" x14ac:dyDescent="0.3">
      <c r="B750" s="51"/>
      <c r="I750" s="52"/>
      <c r="J750" s="52"/>
      <c r="K750" s="52"/>
      <c r="L750" s="52"/>
      <c r="U750" s="51"/>
      <c r="V750" s="51"/>
      <c r="W750" s="51"/>
    </row>
    <row r="751" spans="2:23" ht="14.25" customHeight="1" x14ac:dyDescent="0.3">
      <c r="B751" s="51"/>
      <c r="I751" s="52"/>
      <c r="J751" s="52"/>
      <c r="K751" s="52"/>
      <c r="L751" s="52"/>
      <c r="U751" s="51"/>
      <c r="V751" s="51"/>
      <c r="W751" s="51"/>
    </row>
    <row r="752" spans="2:23" ht="14.25" customHeight="1" x14ac:dyDescent="0.3">
      <c r="B752" s="51"/>
      <c r="I752" s="52"/>
      <c r="J752" s="52"/>
      <c r="K752" s="52"/>
      <c r="L752" s="52"/>
      <c r="U752" s="51"/>
      <c r="V752" s="51"/>
      <c r="W752" s="51"/>
    </row>
    <row r="753" spans="2:23" ht="14.25" customHeight="1" x14ac:dyDescent="0.3">
      <c r="B753" s="51"/>
      <c r="I753" s="52"/>
      <c r="J753" s="52"/>
      <c r="K753" s="52"/>
      <c r="L753" s="52"/>
      <c r="U753" s="51"/>
      <c r="V753" s="51"/>
      <c r="W753" s="51"/>
    </row>
    <row r="754" spans="2:23" ht="14.25" customHeight="1" x14ac:dyDescent="0.3">
      <c r="B754" s="51"/>
      <c r="I754" s="52"/>
      <c r="J754" s="52"/>
      <c r="K754" s="52"/>
      <c r="L754" s="52"/>
      <c r="U754" s="51"/>
      <c r="V754" s="51"/>
      <c r="W754" s="51"/>
    </row>
    <row r="755" spans="2:23" ht="14.25" customHeight="1" x14ac:dyDescent="0.3">
      <c r="B755" s="51"/>
      <c r="I755" s="52"/>
      <c r="J755" s="52"/>
      <c r="K755" s="52"/>
      <c r="L755" s="52"/>
      <c r="U755" s="51"/>
      <c r="V755" s="51"/>
      <c r="W755" s="51"/>
    </row>
    <row r="756" spans="2:23" ht="14.25" customHeight="1" x14ac:dyDescent="0.3">
      <c r="B756" s="51"/>
      <c r="I756" s="52"/>
      <c r="J756" s="52"/>
      <c r="K756" s="52"/>
      <c r="L756" s="52"/>
      <c r="U756" s="51"/>
      <c r="V756" s="51"/>
      <c r="W756" s="51"/>
    </row>
    <row r="757" spans="2:23" ht="14.25" customHeight="1" x14ac:dyDescent="0.3">
      <c r="B757" s="51"/>
      <c r="I757" s="52"/>
      <c r="J757" s="52"/>
      <c r="K757" s="52"/>
      <c r="L757" s="52"/>
      <c r="U757" s="51"/>
      <c r="V757" s="51"/>
      <c r="W757" s="51"/>
    </row>
    <row r="758" spans="2:23" ht="14.25" customHeight="1" x14ac:dyDescent="0.3">
      <c r="B758" s="51"/>
      <c r="I758" s="52"/>
      <c r="J758" s="52"/>
      <c r="K758" s="52"/>
      <c r="L758" s="52"/>
      <c r="U758" s="51"/>
      <c r="V758" s="51"/>
      <c r="W758" s="51"/>
    </row>
    <row r="759" spans="2:23" ht="14.25" customHeight="1" x14ac:dyDescent="0.3">
      <c r="B759" s="51"/>
      <c r="I759" s="52"/>
      <c r="J759" s="52"/>
      <c r="K759" s="52"/>
      <c r="L759" s="52"/>
      <c r="U759" s="51"/>
      <c r="V759" s="51"/>
      <c r="W759" s="51"/>
    </row>
    <row r="760" spans="2:23" ht="14.25" customHeight="1" x14ac:dyDescent="0.3">
      <c r="B760" s="51"/>
      <c r="I760" s="52"/>
      <c r="J760" s="52"/>
      <c r="K760" s="52"/>
      <c r="L760" s="52"/>
      <c r="U760" s="51"/>
      <c r="V760" s="51"/>
      <c r="W760" s="51"/>
    </row>
    <row r="761" spans="2:23" ht="14.25" customHeight="1" x14ac:dyDescent="0.3">
      <c r="B761" s="51"/>
      <c r="I761" s="52"/>
      <c r="J761" s="52"/>
      <c r="K761" s="52"/>
      <c r="L761" s="52"/>
      <c r="U761" s="51"/>
      <c r="V761" s="51"/>
      <c r="W761" s="51"/>
    </row>
    <row r="762" spans="2:23" ht="14.25" customHeight="1" x14ac:dyDescent="0.3">
      <c r="B762" s="51"/>
      <c r="I762" s="52"/>
      <c r="J762" s="52"/>
      <c r="K762" s="52"/>
      <c r="L762" s="52"/>
      <c r="U762" s="51"/>
      <c r="V762" s="51"/>
      <c r="W762" s="51"/>
    </row>
    <row r="763" spans="2:23" ht="14.25" customHeight="1" x14ac:dyDescent="0.3">
      <c r="B763" s="51"/>
      <c r="I763" s="52"/>
      <c r="J763" s="52"/>
      <c r="K763" s="52"/>
      <c r="L763" s="52"/>
      <c r="U763" s="51"/>
      <c r="V763" s="51"/>
      <c r="W763" s="51"/>
    </row>
    <row r="764" spans="2:23" ht="14.25" customHeight="1" x14ac:dyDescent="0.3">
      <c r="B764" s="51"/>
      <c r="I764" s="52"/>
      <c r="J764" s="52"/>
      <c r="K764" s="52"/>
      <c r="L764" s="52"/>
      <c r="U764" s="51"/>
      <c r="V764" s="51"/>
      <c r="W764" s="51"/>
    </row>
    <row r="765" spans="2:23" ht="14.25" customHeight="1" x14ac:dyDescent="0.3">
      <c r="B765" s="51"/>
      <c r="I765" s="52"/>
      <c r="J765" s="52"/>
      <c r="K765" s="52"/>
      <c r="L765" s="52"/>
      <c r="U765" s="51"/>
      <c r="V765" s="51"/>
      <c r="W765" s="51"/>
    </row>
    <row r="766" spans="2:23" ht="14.25" customHeight="1" x14ac:dyDescent="0.3">
      <c r="B766" s="51"/>
      <c r="I766" s="52"/>
      <c r="J766" s="52"/>
      <c r="K766" s="52"/>
      <c r="L766" s="52"/>
      <c r="U766" s="51"/>
      <c r="V766" s="51"/>
      <c r="W766" s="51"/>
    </row>
    <row r="767" spans="2:23" ht="14.25" customHeight="1" x14ac:dyDescent="0.3">
      <c r="B767" s="51"/>
      <c r="I767" s="52"/>
      <c r="J767" s="52"/>
      <c r="K767" s="52"/>
      <c r="L767" s="52"/>
      <c r="U767" s="51"/>
      <c r="V767" s="51"/>
      <c r="W767" s="51"/>
    </row>
    <row r="768" spans="2:23" ht="14.25" customHeight="1" x14ac:dyDescent="0.3">
      <c r="B768" s="51"/>
      <c r="I768" s="52"/>
      <c r="J768" s="52"/>
      <c r="K768" s="52"/>
      <c r="L768" s="52"/>
      <c r="U768" s="51"/>
      <c r="V768" s="51"/>
      <c r="W768" s="51"/>
    </row>
    <row r="769" spans="2:23" ht="14.25" customHeight="1" x14ac:dyDescent="0.3">
      <c r="B769" s="51"/>
      <c r="I769" s="52"/>
      <c r="J769" s="52"/>
      <c r="K769" s="52"/>
      <c r="L769" s="52"/>
      <c r="U769" s="51"/>
      <c r="V769" s="51"/>
      <c r="W769" s="51"/>
    </row>
    <row r="770" spans="2:23" ht="14.25" customHeight="1" x14ac:dyDescent="0.3">
      <c r="B770" s="51"/>
      <c r="I770" s="52"/>
      <c r="J770" s="52"/>
      <c r="K770" s="52"/>
      <c r="L770" s="52"/>
      <c r="U770" s="51"/>
      <c r="V770" s="51"/>
      <c r="W770" s="51"/>
    </row>
    <row r="771" spans="2:23" ht="14.25" customHeight="1" x14ac:dyDescent="0.3">
      <c r="B771" s="51"/>
      <c r="I771" s="52"/>
      <c r="J771" s="52"/>
      <c r="K771" s="52"/>
      <c r="L771" s="52"/>
      <c r="U771" s="51"/>
      <c r="V771" s="51"/>
      <c r="W771" s="51"/>
    </row>
    <row r="772" spans="2:23" ht="14.25" customHeight="1" x14ac:dyDescent="0.3">
      <c r="B772" s="51"/>
      <c r="I772" s="52"/>
      <c r="J772" s="52"/>
      <c r="K772" s="52"/>
      <c r="L772" s="52"/>
      <c r="U772" s="51"/>
      <c r="V772" s="51"/>
      <c r="W772" s="51"/>
    </row>
    <row r="773" spans="2:23" ht="14.25" customHeight="1" x14ac:dyDescent="0.3">
      <c r="B773" s="51"/>
      <c r="I773" s="52"/>
      <c r="J773" s="52"/>
      <c r="K773" s="52"/>
      <c r="L773" s="52"/>
      <c r="U773" s="51"/>
      <c r="V773" s="51"/>
      <c r="W773" s="51"/>
    </row>
    <row r="774" spans="2:23" ht="14.25" customHeight="1" x14ac:dyDescent="0.3">
      <c r="B774" s="51"/>
      <c r="I774" s="52"/>
      <c r="J774" s="52"/>
      <c r="K774" s="52"/>
      <c r="L774" s="52"/>
      <c r="U774" s="51"/>
      <c r="V774" s="51"/>
      <c r="W774" s="51"/>
    </row>
    <row r="775" spans="2:23" ht="14.25" customHeight="1" x14ac:dyDescent="0.3">
      <c r="B775" s="51"/>
      <c r="I775" s="52"/>
      <c r="J775" s="52"/>
      <c r="K775" s="52"/>
      <c r="L775" s="52"/>
      <c r="U775" s="51"/>
      <c r="V775" s="51"/>
      <c r="W775" s="51"/>
    </row>
    <row r="776" spans="2:23" ht="14.25" customHeight="1" x14ac:dyDescent="0.3">
      <c r="B776" s="51"/>
      <c r="I776" s="52"/>
      <c r="J776" s="52"/>
      <c r="K776" s="52"/>
      <c r="L776" s="52"/>
      <c r="U776" s="51"/>
      <c r="V776" s="51"/>
      <c r="W776" s="51"/>
    </row>
    <row r="777" spans="2:23" ht="14.25" customHeight="1" x14ac:dyDescent="0.3">
      <c r="B777" s="51"/>
      <c r="I777" s="52"/>
      <c r="J777" s="52"/>
      <c r="K777" s="52"/>
      <c r="L777" s="52"/>
      <c r="U777" s="51"/>
      <c r="V777" s="51"/>
      <c r="W777" s="51"/>
    </row>
    <row r="778" spans="2:23" ht="14.25" customHeight="1" x14ac:dyDescent="0.3">
      <c r="B778" s="51"/>
      <c r="I778" s="52"/>
      <c r="J778" s="52"/>
      <c r="K778" s="52"/>
      <c r="L778" s="52"/>
      <c r="U778" s="51"/>
      <c r="V778" s="51"/>
      <c r="W778" s="51"/>
    </row>
    <row r="779" spans="2:23" ht="14.25" customHeight="1" x14ac:dyDescent="0.3">
      <c r="B779" s="51"/>
      <c r="I779" s="52"/>
      <c r="J779" s="52"/>
      <c r="K779" s="52"/>
      <c r="L779" s="52"/>
      <c r="U779" s="51"/>
      <c r="V779" s="51"/>
      <c r="W779" s="51"/>
    </row>
    <row r="780" spans="2:23" ht="14.25" customHeight="1" x14ac:dyDescent="0.3">
      <c r="B780" s="51"/>
      <c r="I780" s="52"/>
      <c r="J780" s="52"/>
      <c r="K780" s="52"/>
      <c r="L780" s="52"/>
      <c r="U780" s="51"/>
      <c r="V780" s="51"/>
      <c r="W780" s="51"/>
    </row>
    <row r="781" spans="2:23" ht="14.25" customHeight="1" x14ac:dyDescent="0.3">
      <c r="B781" s="51"/>
      <c r="I781" s="52"/>
      <c r="J781" s="52"/>
      <c r="K781" s="52"/>
      <c r="L781" s="52"/>
      <c r="U781" s="51"/>
      <c r="V781" s="51"/>
      <c r="W781" s="51"/>
    </row>
    <row r="782" spans="2:23" ht="14.25" customHeight="1" x14ac:dyDescent="0.3">
      <c r="B782" s="51"/>
      <c r="I782" s="52"/>
      <c r="J782" s="52"/>
      <c r="K782" s="52"/>
      <c r="L782" s="52"/>
      <c r="U782" s="51"/>
      <c r="V782" s="51"/>
      <c r="W782" s="51"/>
    </row>
    <row r="783" spans="2:23" ht="14.25" customHeight="1" x14ac:dyDescent="0.3">
      <c r="B783" s="51"/>
      <c r="I783" s="52"/>
      <c r="J783" s="52"/>
      <c r="K783" s="52"/>
      <c r="L783" s="52"/>
      <c r="U783" s="51"/>
      <c r="V783" s="51"/>
      <c r="W783" s="51"/>
    </row>
    <row r="784" spans="2:23" ht="14.25" customHeight="1" x14ac:dyDescent="0.3">
      <c r="B784" s="51"/>
      <c r="I784" s="52"/>
      <c r="J784" s="52"/>
      <c r="K784" s="52"/>
      <c r="L784" s="52"/>
      <c r="U784" s="51"/>
      <c r="V784" s="51"/>
      <c r="W784" s="51"/>
    </row>
    <row r="785" spans="2:23" ht="14.25" customHeight="1" x14ac:dyDescent="0.3">
      <c r="B785" s="51"/>
      <c r="I785" s="52"/>
      <c r="J785" s="52"/>
      <c r="K785" s="52"/>
      <c r="L785" s="52"/>
      <c r="U785" s="51"/>
      <c r="V785" s="51"/>
      <c r="W785" s="51"/>
    </row>
    <row r="786" spans="2:23" ht="14.25" customHeight="1" x14ac:dyDescent="0.3">
      <c r="B786" s="51"/>
      <c r="I786" s="52"/>
      <c r="J786" s="52"/>
      <c r="K786" s="52"/>
      <c r="L786" s="52"/>
      <c r="U786" s="51"/>
      <c r="V786" s="51"/>
      <c r="W786" s="51"/>
    </row>
    <row r="787" spans="2:23" ht="14.25" customHeight="1" x14ac:dyDescent="0.3">
      <c r="B787" s="51"/>
      <c r="I787" s="52"/>
      <c r="J787" s="52"/>
      <c r="K787" s="52"/>
      <c r="L787" s="52"/>
      <c r="U787" s="51"/>
      <c r="V787" s="51"/>
      <c r="W787" s="51"/>
    </row>
    <row r="788" spans="2:23" ht="14.25" customHeight="1" x14ac:dyDescent="0.3">
      <c r="B788" s="51"/>
      <c r="I788" s="52"/>
      <c r="J788" s="52"/>
      <c r="K788" s="52"/>
      <c r="L788" s="52"/>
      <c r="U788" s="51"/>
      <c r="V788" s="51"/>
      <c r="W788" s="51"/>
    </row>
    <row r="789" spans="2:23" ht="14.25" customHeight="1" x14ac:dyDescent="0.3">
      <c r="B789" s="51"/>
      <c r="I789" s="52"/>
      <c r="J789" s="52"/>
      <c r="K789" s="52"/>
      <c r="L789" s="52"/>
      <c r="U789" s="51"/>
      <c r="V789" s="51"/>
      <c r="W789" s="51"/>
    </row>
    <row r="790" spans="2:23" ht="14.25" customHeight="1" x14ac:dyDescent="0.3">
      <c r="B790" s="51"/>
      <c r="I790" s="52"/>
      <c r="J790" s="52"/>
      <c r="K790" s="52"/>
      <c r="L790" s="52"/>
      <c r="U790" s="51"/>
      <c r="V790" s="51"/>
      <c r="W790" s="51"/>
    </row>
    <row r="791" spans="2:23" ht="14.25" customHeight="1" x14ac:dyDescent="0.3">
      <c r="B791" s="51"/>
      <c r="I791" s="52"/>
      <c r="J791" s="52"/>
      <c r="K791" s="52"/>
      <c r="L791" s="52"/>
      <c r="U791" s="51"/>
      <c r="V791" s="51"/>
      <c r="W791" s="51"/>
    </row>
    <row r="792" spans="2:23" ht="14.25" customHeight="1" x14ac:dyDescent="0.3">
      <c r="B792" s="51"/>
      <c r="I792" s="52"/>
      <c r="J792" s="52"/>
      <c r="K792" s="52"/>
      <c r="L792" s="52"/>
      <c r="U792" s="51"/>
      <c r="V792" s="51"/>
      <c r="W792" s="51"/>
    </row>
    <row r="793" spans="2:23" ht="14.25" customHeight="1" x14ac:dyDescent="0.3">
      <c r="B793" s="51"/>
      <c r="I793" s="52"/>
      <c r="J793" s="52"/>
      <c r="K793" s="52"/>
      <c r="L793" s="52"/>
      <c r="U793" s="51"/>
      <c r="V793" s="51"/>
      <c r="W793" s="51"/>
    </row>
    <row r="794" spans="2:23" ht="14.25" customHeight="1" x14ac:dyDescent="0.3">
      <c r="B794" s="51"/>
      <c r="I794" s="52"/>
      <c r="J794" s="52"/>
      <c r="K794" s="52"/>
      <c r="L794" s="52"/>
      <c r="U794" s="51"/>
      <c r="V794" s="51"/>
      <c r="W794" s="51"/>
    </row>
    <row r="795" spans="2:23" ht="14.25" customHeight="1" x14ac:dyDescent="0.3">
      <c r="B795" s="51"/>
      <c r="I795" s="52"/>
      <c r="J795" s="52"/>
      <c r="K795" s="52"/>
      <c r="L795" s="52"/>
      <c r="U795" s="51"/>
      <c r="V795" s="51"/>
      <c r="W795" s="51"/>
    </row>
    <row r="796" spans="2:23" ht="14.25" customHeight="1" x14ac:dyDescent="0.3">
      <c r="B796" s="51"/>
      <c r="I796" s="52"/>
      <c r="J796" s="52"/>
      <c r="K796" s="52"/>
      <c r="L796" s="52"/>
      <c r="U796" s="51"/>
      <c r="V796" s="51"/>
      <c r="W796" s="51"/>
    </row>
    <row r="797" spans="2:23" ht="14.25" customHeight="1" x14ac:dyDescent="0.3">
      <c r="B797" s="51"/>
      <c r="I797" s="52"/>
      <c r="J797" s="52"/>
      <c r="K797" s="52"/>
      <c r="L797" s="52"/>
      <c r="U797" s="51"/>
      <c r="V797" s="51"/>
      <c r="W797" s="51"/>
    </row>
    <row r="798" spans="2:23" ht="14.25" customHeight="1" x14ac:dyDescent="0.3">
      <c r="B798" s="51"/>
      <c r="I798" s="52"/>
      <c r="J798" s="52"/>
      <c r="K798" s="52"/>
      <c r="L798" s="52"/>
      <c r="U798" s="51"/>
      <c r="V798" s="51"/>
      <c r="W798" s="51"/>
    </row>
    <row r="799" spans="2:23" ht="14.25" customHeight="1" x14ac:dyDescent="0.3">
      <c r="B799" s="51"/>
      <c r="I799" s="52"/>
      <c r="J799" s="52"/>
      <c r="K799" s="52"/>
      <c r="L799" s="52"/>
      <c r="U799" s="51"/>
      <c r="V799" s="51"/>
      <c r="W799" s="51"/>
    </row>
    <row r="800" spans="2:23" ht="14.25" customHeight="1" x14ac:dyDescent="0.3">
      <c r="B800" s="51"/>
      <c r="I800" s="52"/>
      <c r="J800" s="52"/>
      <c r="K800" s="52"/>
      <c r="L800" s="52"/>
      <c r="U800" s="51"/>
      <c r="V800" s="51"/>
      <c r="W800" s="51"/>
    </row>
    <row r="801" spans="2:23" ht="14.25" customHeight="1" x14ac:dyDescent="0.3">
      <c r="B801" s="51"/>
      <c r="I801" s="52"/>
      <c r="J801" s="52"/>
      <c r="K801" s="52"/>
      <c r="L801" s="52"/>
      <c r="U801" s="51"/>
      <c r="V801" s="51"/>
      <c r="W801" s="51"/>
    </row>
    <row r="802" spans="2:23" ht="14.25" customHeight="1" x14ac:dyDescent="0.3">
      <c r="B802" s="51"/>
      <c r="I802" s="52"/>
      <c r="J802" s="52"/>
      <c r="K802" s="52"/>
      <c r="L802" s="52"/>
      <c r="U802" s="51"/>
      <c r="V802" s="51"/>
      <c r="W802" s="51"/>
    </row>
    <row r="803" spans="2:23" ht="14.25" customHeight="1" x14ac:dyDescent="0.3">
      <c r="B803" s="51"/>
      <c r="I803" s="52"/>
      <c r="J803" s="52"/>
      <c r="K803" s="52"/>
      <c r="L803" s="52"/>
      <c r="U803" s="51"/>
      <c r="V803" s="51"/>
      <c r="W803" s="51"/>
    </row>
    <row r="804" spans="2:23" ht="14.25" customHeight="1" x14ac:dyDescent="0.3">
      <c r="B804" s="51"/>
      <c r="I804" s="52"/>
      <c r="J804" s="52"/>
      <c r="K804" s="52"/>
      <c r="L804" s="52"/>
      <c r="U804" s="51"/>
      <c r="V804" s="51"/>
      <c r="W804" s="51"/>
    </row>
    <row r="805" spans="2:23" ht="14.25" customHeight="1" x14ac:dyDescent="0.3">
      <c r="B805" s="51"/>
      <c r="I805" s="52"/>
      <c r="J805" s="52"/>
      <c r="K805" s="52"/>
      <c r="L805" s="52"/>
      <c r="U805" s="51"/>
      <c r="V805" s="51"/>
      <c r="W805" s="51"/>
    </row>
    <row r="806" spans="2:23" ht="14.25" customHeight="1" x14ac:dyDescent="0.3">
      <c r="B806" s="51"/>
      <c r="I806" s="52"/>
      <c r="J806" s="52"/>
      <c r="K806" s="52"/>
      <c r="L806" s="52"/>
      <c r="U806" s="51"/>
      <c r="V806" s="51"/>
      <c r="W806" s="51"/>
    </row>
    <row r="807" spans="2:23" ht="14.25" customHeight="1" x14ac:dyDescent="0.3">
      <c r="B807" s="51"/>
      <c r="I807" s="52"/>
      <c r="J807" s="52"/>
      <c r="K807" s="52"/>
      <c r="L807" s="52"/>
      <c r="U807" s="51"/>
      <c r="V807" s="51"/>
      <c r="W807" s="51"/>
    </row>
    <row r="808" spans="2:23" ht="14.25" customHeight="1" x14ac:dyDescent="0.3">
      <c r="B808" s="51"/>
      <c r="I808" s="52"/>
      <c r="J808" s="52"/>
      <c r="K808" s="52"/>
      <c r="L808" s="52"/>
      <c r="U808" s="51"/>
      <c r="V808" s="51"/>
      <c r="W808" s="51"/>
    </row>
    <row r="809" spans="2:23" ht="14.25" customHeight="1" x14ac:dyDescent="0.3">
      <c r="B809" s="51"/>
      <c r="I809" s="52"/>
      <c r="J809" s="52"/>
      <c r="K809" s="52"/>
      <c r="L809" s="52"/>
      <c r="U809" s="51"/>
      <c r="V809" s="51"/>
      <c r="W809" s="51"/>
    </row>
    <row r="810" spans="2:23" ht="14.25" customHeight="1" x14ac:dyDescent="0.3">
      <c r="B810" s="51"/>
      <c r="I810" s="52"/>
      <c r="J810" s="52"/>
      <c r="K810" s="52"/>
      <c r="L810" s="52"/>
      <c r="U810" s="51"/>
      <c r="V810" s="51"/>
      <c r="W810" s="51"/>
    </row>
    <row r="811" spans="2:23" ht="14.25" customHeight="1" x14ac:dyDescent="0.3">
      <c r="B811" s="51"/>
      <c r="I811" s="52"/>
      <c r="J811" s="52"/>
      <c r="K811" s="52"/>
      <c r="L811" s="52"/>
      <c r="U811" s="51"/>
      <c r="V811" s="51"/>
      <c r="W811" s="51"/>
    </row>
    <row r="812" spans="2:23" ht="14.25" customHeight="1" x14ac:dyDescent="0.3">
      <c r="B812" s="51"/>
      <c r="I812" s="52"/>
      <c r="J812" s="52"/>
      <c r="K812" s="52"/>
      <c r="L812" s="52"/>
      <c r="U812" s="51"/>
      <c r="V812" s="51"/>
      <c r="W812" s="51"/>
    </row>
    <row r="813" spans="2:23" ht="14.25" customHeight="1" x14ac:dyDescent="0.3">
      <c r="B813" s="51"/>
      <c r="I813" s="52"/>
      <c r="J813" s="52"/>
      <c r="K813" s="52"/>
      <c r="L813" s="52"/>
      <c r="U813" s="51"/>
      <c r="V813" s="51"/>
      <c r="W813" s="51"/>
    </row>
    <row r="814" spans="2:23" ht="14.25" customHeight="1" x14ac:dyDescent="0.3">
      <c r="B814" s="51"/>
      <c r="I814" s="52"/>
      <c r="J814" s="52"/>
      <c r="K814" s="52"/>
      <c r="L814" s="52"/>
      <c r="U814" s="51"/>
      <c r="V814" s="51"/>
      <c r="W814" s="51"/>
    </row>
    <row r="815" spans="2:23" ht="14.25" customHeight="1" x14ac:dyDescent="0.3">
      <c r="B815" s="51"/>
      <c r="I815" s="52"/>
      <c r="J815" s="52"/>
      <c r="K815" s="52"/>
      <c r="L815" s="52"/>
      <c r="U815" s="51"/>
      <c r="V815" s="51"/>
      <c r="W815" s="51"/>
    </row>
    <row r="816" spans="2:23" ht="14.25" customHeight="1" x14ac:dyDescent="0.3">
      <c r="B816" s="51"/>
      <c r="I816" s="52"/>
      <c r="J816" s="52"/>
      <c r="K816" s="52"/>
      <c r="L816" s="52"/>
      <c r="U816" s="51"/>
      <c r="V816" s="51"/>
      <c r="W816" s="51"/>
    </row>
    <row r="817" spans="2:23" ht="14.25" customHeight="1" x14ac:dyDescent="0.3">
      <c r="B817" s="51"/>
      <c r="I817" s="52"/>
      <c r="J817" s="52"/>
      <c r="K817" s="52"/>
      <c r="L817" s="52"/>
      <c r="U817" s="51"/>
      <c r="V817" s="51"/>
      <c r="W817" s="51"/>
    </row>
    <row r="818" spans="2:23" ht="14.25" customHeight="1" x14ac:dyDescent="0.3">
      <c r="B818" s="51"/>
      <c r="I818" s="52"/>
      <c r="J818" s="52"/>
      <c r="K818" s="52"/>
      <c r="L818" s="52"/>
      <c r="U818" s="51"/>
      <c r="V818" s="51"/>
      <c r="W818" s="51"/>
    </row>
    <row r="819" spans="2:23" ht="14.25" customHeight="1" x14ac:dyDescent="0.3">
      <c r="B819" s="51"/>
      <c r="I819" s="52"/>
      <c r="J819" s="52"/>
      <c r="K819" s="52"/>
      <c r="L819" s="52"/>
      <c r="U819" s="51"/>
      <c r="V819" s="51"/>
      <c r="W819" s="51"/>
    </row>
    <row r="820" spans="2:23" ht="14.25" customHeight="1" x14ac:dyDescent="0.3">
      <c r="B820" s="51"/>
      <c r="I820" s="52"/>
      <c r="J820" s="52"/>
      <c r="K820" s="52"/>
      <c r="L820" s="52"/>
      <c r="U820" s="51"/>
      <c r="V820" s="51"/>
      <c r="W820" s="51"/>
    </row>
    <row r="821" spans="2:23" ht="14.25" customHeight="1" x14ac:dyDescent="0.3">
      <c r="B821" s="51"/>
      <c r="I821" s="52"/>
      <c r="J821" s="52"/>
      <c r="K821" s="52"/>
      <c r="L821" s="52"/>
      <c r="U821" s="51"/>
      <c r="V821" s="51"/>
      <c r="W821" s="51"/>
    </row>
    <row r="822" spans="2:23" ht="14.25" customHeight="1" x14ac:dyDescent="0.3">
      <c r="B822" s="51"/>
      <c r="I822" s="52"/>
      <c r="J822" s="52"/>
      <c r="K822" s="52"/>
      <c r="L822" s="52"/>
      <c r="U822" s="51"/>
      <c r="V822" s="51"/>
      <c r="W822" s="51"/>
    </row>
    <row r="823" spans="2:23" ht="14.25" customHeight="1" x14ac:dyDescent="0.3">
      <c r="B823" s="51"/>
      <c r="I823" s="52"/>
      <c r="J823" s="52"/>
      <c r="K823" s="52"/>
      <c r="L823" s="52"/>
      <c r="U823" s="51"/>
      <c r="V823" s="51"/>
      <c r="W823" s="51"/>
    </row>
    <row r="824" spans="2:23" ht="14.25" customHeight="1" x14ac:dyDescent="0.3">
      <c r="B824" s="51"/>
      <c r="I824" s="52"/>
      <c r="J824" s="52"/>
      <c r="K824" s="52"/>
      <c r="L824" s="52"/>
      <c r="U824" s="51"/>
      <c r="V824" s="51"/>
      <c r="W824" s="51"/>
    </row>
    <row r="825" spans="2:23" ht="14.25" customHeight="1" x14ac:dyDescent="0.3">
      <c r="B825" s="51"/>
      <c r="I825" s="52"/>
      <c r="J825" s="52"/>
      <c r="K825" s="52"/>
      <c r="L825" s="52"/>
      <c r="U825" s="51"/>
      <c r="V825" s="51"/>
      <c r="W825" s="51"/>
    </row>
    <row r="826" spans="2:23" ht="14.25" customHeight="1" x14ac:dyDescent="0.3">
      <c r="B826" s="51"/>
      <c r="I826" s="52"/>
      <c r="J826" s="52"/>
      <c r="K826" s="52"/>
      <c r="L826" s="52"/>
      <c r="U826" s="51"/>
      <c r="V826" s="51"/>
      <c r="W826" s="51"/>
    </row>
    <row r="827" spans="2:23" ht="14.25" customHeight="1" x14ac:dyDescent="0.3">
      <c r="B827" s="51"/>
      <c r="I827" s="52"/>
      <c r="J827" s="52"/>
      <c r="K827" s="52"/>
      <c r="L827" s="52"/>
      <c r="U827" s="51"/>
      <c r="V827" s="51"/>
      <c r="W827" s="51"/>
    </row>
    <row r="828" spans="2:23" ht="14.25" customHeight="1" x14ac:dyDescent="0.3">
      <c r="B828" s="51"/>
      <c r="I828" s="52"/>
      <c r="J828" s="52"/>
      <c r="K828" s="52"/>
      <c r="L828" s="52"/>
      <c r="U828" s="51"/>
      <c r="V828" s="51"/>
      <c r="W828" s="51"/>
    </row>
    <row r="829" spans="2:23" ht="14.25" customHeight="1" x14ac:dyDescent="0.3">
      <c r="B829" s="51"/>
      <c r="I829" s="52"/>
      <c r="J829" s="52"/>
      <c r="K829" s="52"/>
      <c r="L829" s="52"/>
      <c r="U829" s="51"/>
      <c r="V829" s="51"/>
      <c r="W829" s="51"/>
    </row>
    <row r="830" spans="2:23" ht="14.25" customHeight="1" x14ac:dyDescent="0.3">
      <c r="B830" s="51"/>
      <c r="I830" s="52"/>
      <c r="J830" s="52"/>
      <c r="K830" s="52"/>
      <c r="L830" s="52"/>
      <c r="U830" s="51"/>
      <c r="V830" s="51"/>
      <c r="W830" s="51"/>
    </row>
    <row r="831" spans="2:23" ht="14.25" customHeight="1" x14ac:dyDescent="0.3">
      <c r="B831" s="51"/>
      <c r="I831" s="52"/>
      <c r="J831" s="52"/>
      <c r="K831" s="52"/>
      <c r="L831" s="52"/>
      <c r="U831" s="51"/>
      <c r="V831" s="51"/>
      <c r="W831" s="51"/>
    </row>
    <row r="832" spans="2:23" ht="14.25" customHeight="1" x14ac:dyDescent="0.3">
      <c r="B832" s="51"/>
      <c r="I832" s="52"/>
      <c r="J832" s="52"/>
      <c r="K832" s="52"/>
      <c r="L832" s="52"/>
      <c r="U832" s="51"/>
      <c r="V832" s="51"/>
      <c r="W832" s="51"/>
    </row>
    <row r="833" spans="2:23" ht="14.25" customHeight="1" x14ac:dyDescent="0.3">
      <c r="B833" s="51"/>
      <c r="I833" s="52"/>
      <c r="J833" s="52"/>
      <c r="K833" s="52"/>
      <c r="L833" s="52"/>
      <c r="U833" s="51"/>
      <c r="V833" s="51"/>
      <c r="W833" s="51"/>
    </row>
    <row r="834" spans="2:23" ht="14.25" customHeight="1" x14ac:dyDescent="0.3">
      <c r="B834" s="51"/>
      <c r="I834" s="52"/>
      <c r="J834" s="52"/>
      <c r="K834" s="52"/>
      <c r="L834" s="52"/>
      <c r="U834" s="51"/>
      <c r="V834" s="51"/>
      <c r="W834" s="51"/>
    </row>
    <row r="835" spans="2:23" ht="14.25" customHeight="1" x14ac:dyDescent="0.3">
      <c r="B835" s="51"/>
      <c r="I835" s="52"/>
      <c r="J835" s="52"/>
      <c r="K835" s="52"/>
      <c r="L835" s="52"/>
      <c r="U835" s="51"/>
      <c r="V835" s="51"/>
      <c r="W835" s="51"/>
    </row>
    <row r="836" spans="2:23" ht="14.25" customHeight="1" x14ac:dyDescent="0.3">
      <c r="B836" s="51"/>
      <c r="I836" s="52"/>
      <c r="J836" s="52"/>
      <c r="K836" s="52"/>
      <c r="L836" s="52"/>
      <c r="U836" s="51"/>
      <c r="V836" s="51"/>
      <c r="W836" s="51"/>
    </row>
    <row r="837" spans="2:23" ht="14.25" customHeight="1" x14ac:dyDescent="0.3">
      <c r="B837" s="51"/>
      <c r="I837" s="52"/>
      <c r="J837" s="52"/>
      <c r="K837" s="52"/>
      <c r="L837" s="52"/>
      <c r="U837" s="51"/>
      <c r="V837" s="51"/>
      <c r="W837" s="51"/>
    </row>
    <row r="838" spans="2:23" ht="14.25" customHeight="1" x14ac:dyDescent="0.3">
      <c r="B838" s="51"/>
      <c r="I838" s="52"/>
      <c r="J838" s="52"/>
      <c r="K838" s="52"/>
      <c r="L838" s="52"/>
      <c r="U838" s="51"/>
      <c r="V838" s="51"/>
      <c r="W838" s="51"/>
    </row>
    <row r="839" spans="2:23" ht="14.25" customHeight="1" x14ac:dyDescent="0.3">
      <c r="B839" s="51"/>
      <c r="I839" s="52"/>
      <c r="J839" s="52"/>
      <c r="K839" s="52"/>
      <c r="L839" s="52"/>
      <c r="U839" s="51"/>
      <c r="V839" s="51"/>
      <c r="W839" s="51"/>
    </row>
    <row r="840" spans="2:23" ht="14.25" customHeight="1" x14ac:dyDescent="0.3">
      <c r="B840" s="51"/>
      <c r="I840" s="52"/>
      <c r="J840" s="52"/>
      <c r="K840" s="52"/>
      <c r="L840" s="52"/>
      <c r="U840" s="51"/>
      <c r="V840" s="51"/>
      <c r="W840" s="51"/>
    </row>
    <row r="841" spans="2:23" ht="14.25" customHeight="1" x14ac:dyDescent="0.3">
      <c r="B841" s="51"/>
      <c r="I841" s="52"/>
      <c r="J841" s="52"/>
      <c r="K841" s="52"/>
      <c r="L841" s="52"/>
      <c r="U841" s="51"/>
      <c r="V841" s="51"/>
      <c r="W841" s="51"/>
    </row>
    <row r="842" spans="2:23" ht="14.25" customHeight="1" x14ac:dyDescent="0.3">
      <c r="B842" s="51"/>
      <c r="I842" s="52"/>
      <c r="J842" s="52"/>
      <c r="K842" s="52"/>
      <c r="L842" s="52"/>
      <c r="U842" s="51"/>
      <c r="V842" s="51"/>
      <c r="W842" s="51"/>
    </row>
    <row r="843" spans="2:23" ht="14.25" customHeight="1" x14ac:dyDescent="0.3">
      <c r="B843" s="51"/>
      <c r="I843" s="52"/>
      <c r="J843" s="52"/>
      <c r="K843" s="52"/>
      <c r="L843" s="52"/>
      <c r="U843" s="51"/>
      <c r="V843" s="51"/>
      <c r="W843" s="51"/>
    </row>
    <row r="844" spans="2:23" ht="14.25" customHeight="1" x14ac:dyDescent="0.3">
      <c r="B844" s="51"/>
      <c r="I844" s="52"/>
      <c r="J844" s="52"/>
      <c r="K844" s="52"/>
      <c r="L844" s="52"/>
      <c r="U844" s="51"/>
      <c r="V844" s="51"/>
      <c r="W844" s="51"/>
    </row>
    <row r="845" spans="2:23" ht="14.25" customHeight="1" x14ac:dyDescent="0.3">
      <c r="B845" s="51"/>
      <c r="I845" s="52"/>
      <c r="J845" s="52"/>
      <c r="K845" s="52"/>
      <c r="L845" s="52"/>
      <c r="U845" s="51"/>
      <c r="V845" s="51"/>
      <c r="W845" s="51"/>
    </row>
    <row r="846" spans="2:23" ht="14.25" customHeight="1" x14ac:dyDescent="0.3">
      <c r="B846" s="51"/>
      <c r="I846" s="52"/>
      <c r="J846" s="52"/>
      <c r="K846" s="52"/>
      <c r="L846" s="52"/>
      <c r="U846" s="51"/>
      <c r="V846" s="51"/>
      <c r="W846" s="51"/>
    </row>
    <row r="847" spans="2:23" ht="14.25" customHeight="1" x14ac:dyDescent="0.3">
      <c r="B847" s="51"/>
      <c r="I847" s="52"/>
      <c r="J847" s="52"/>
      <c r="K847" s="52"/>
      <c r="L847" s="52"/>
      <c r="U847" s="51"/>
      <c r="V847" s="51"/>
      <c r="W847" s="51"/>
    </row>
    <row r="848" spans="2:23" ht="14.25" customHeight="1" x14ac:dyDescent="0.3">
      <c r="B848" s="51"/>
      <c r="I848" s="52"/>
      <c r="J848" s="52"/>
      <c r="K848" s="52"/>
      <c r="L848" s="52"/>
      <c r="U848" s="51"/>
      <c r="V848" s="51"/>
      <c r="W848" s="51"/>
    </row>
    <row r="849" spans="2:23" ht="14.25" customHeight="1" x14ac:dyDescent="0.3">
      <c r="B849" s="51"/>
      <c r="I849" s="52"/>
      <c r="J849" s="52"/>
      <c r="K849" s="52"/>
      <c r="L849" s="52"/>
      <c r="U849" s="51"/>
      <c r="V849" s="51"/>
      <c r="W849" s="51"/>
    </row>
    <row r="850" spans="2:23" ht="14.25" customHeight="1" x14ac:dyDescent="0.3">
      <c r="B850" s="51"/>
      <c r="I850" s="52"/>
      <c r="J850" s="52"/>
      <c r="K850" s="52"/>
      <c r="L850" s="52"/>
      <c r="U850" s="51"/>
      <c r="V850" s="51"/>
      <c r="W850" s="51"/>
    </row>
    <row r="851" spans="2:23" ht="14.25" customHeight="1" x14ac:dyDescent="0.3">
      <c r="B851" s="51"/>
      <c r="I851" s="52"/>
      <c r="J851" s="52"/>
      <c r="K851" s="52"/>
      <c r="L851" s="52"/>
      <c r="U851" s="51"/>
      <c r="V851" s="51"/>
      <c r="W851" s="51"/>
    </row>
    <row r="852" spans="2:23" ht="14.25" customHeight="1" x14ac:dyDescent="0.3">
      <c r="B852" s="51"/>
      <c r="I852" s="52"/>
      <c r="J852" s="52"/>
      <c r="K852" s="52"/>
      <c r="L852" s="52"/>
      <c r="U852" s="51"/>
      <c r="V852" s="51"/>
      <c r="W852" s="51"/>
    </row>
    <row r="853" spans="2:23" ht="14.25" customHeight="1" x14ac:dyDescent="0.3">
      <c r="B853" s="51"/>
      <c r="I853" s="52"/>
      <c r="J853" s="52"/>
      <c r="K853" s="52"/>
      <c r="L853" s="52"/>
      <c r="U853" s="51"/>
      <c r="V853" s="51"/>
      <c r="W853" s="51"/>
    </row>
    <row r="854" spans="2:23" ht="14.25" customHeight="1" x14ac:dyDescent="0.3">
      <c r="B854" s="51"/>
      <c r="I854" s="52"/>
      <c r="J854" s="52"/>
      <c r="K854" s="52"/>
      <c r="L854" s="52"/>
      <c r="U854" s="51"/>
      <c r="V854" s="51"/>
      <c r="W854" s="51"/>
    </row>
    <row r="855" spans="2:23" ht="14.25" customHeight="1" x14ac:dyDescent="0.3">
      <c r="B855" s="51"/>
      <c r="I855" s="52"/>
      <c r="J855" s="52"/>
      <c r="K855" s="52"/>
      <c r="L855" s="52"/>
      <c r="U855" s="51"/>
      <c r="V855" s="51"/>
      <c r="W855" s="51"/>
    </row>
    <row r="856" spans="2:23" ht="14.25" customHeight="1" x14ac:dyDescent="0.3">
      <c r="B856" s="51"/>
      <c r="I856" s="52"/>
      <c r="J856" s="52"/>
      <c r="K856" s="52"/>
      <c r="L856" s="52"/>
      <c r="U856" s="51"/>
      <c r="V856" s="51"/>
      <c r="W856" s="51"/>
    </row>
    <row r="857" spans="2:23" ht="14.25" customHeight="1" x14ac:dyDescent="0.3">
      <c r="B857" s="51"/>
      <c r="I857" s="52"/>
      <c r="J857" s="52"/>
      <c r="K857" s="52"/>
      <c r="L857" s="52"/>
      <c r="U857" s="51"/>
      <c r="V857" s="51"/>
      <c r="W857" s="51"/>
    </row>
    <row r="858" spans="2:23" ht="14.25" customHeight="1" x14ac:dyDescent="0.3">
      <c r="B858" s="51"/>
      <c r="I858" s="52"/>
      <c r="J858" s="52"/>
      <c r="K858" s="52"/>
      <c r="L858" s="52"/>
      <c r="U858" s="51"/>
      <c r="V858" s="51"/>
      <c r="W858" s="51"/>
    </row>
    <row r="859" spans="2:23" ht="14.25" customHeight="1" x14ac:dyDescent="0.3">
      <c r="B859" s="51"/>
      <c r="I859" s="52"/>
      <c r="J859" s="52"/>
      <c r="K859" s="52"/>
      <c r="L859" s="52"/>
      <c r="U859" s="51"/>
      <c r="V859" s="51"/>
      <c r="W859" s="51"/>
    </row>
    <row r="860" spans="2:23" ht="14.25" customHeight="1" x14ac:dyDescent="0.3">
      <c r="B860" s="51"/>
      <c r="I860" s="52"/>
      <c r="J860" s="52"/>
      <c r="K860" s="52"/>
      <c r="L860" s="52"/>
      <c r="U860" s="51"/>
      <c r="V860" s="51"/>
      <c r="W860" s="51"/>
    </row>
    <row r="861" spans="2:23" ht="14.25" customHeight="1" x14ac:dyDescent="0.3">
      <c r="B861" s="51"/>
      <c r="I861" s="52"/>
      <c r="J861" s="52"/>
      <c r="K861" s="52"/>
      <c r="L861" s="52"/>
      <c r="U861" s="51"/>
      <c r="V861" s="51"/>
      <c r="W861" s="51"/>
    </row>
    <row r="862" spans="2:23" ht="14.25" customHeight="1" x14ac:dyDescent="0.3">
      <c r="B862" s="51"/>
      <c r="I862" s="52"/>
      <c r="J862" s="52"/>
      <c r="K862" s="52"/>
      <c r="L862" s="52"/>
      <c r="U862" s="51"/>
      <c r="V862" s="51"/>
      <c r="W862" s="51"/>
    </row>
    <row r="863" spans="2:23" ht="14.25" customHeight="1" x14ac:dyDescent="0.3">
      <c r="B863" s="51"/>
      <c r="I863" s="52"/>
      <c r="J863" s="52"/>
      <c r="K863" s="52"/>
      <c r="L863" s="52"/>
      <c r="U863" s="51"/>
      <c r="V863" s="51"/>
      <c r="W863" s="51"/>
    </row>
    <row r="864" spans="2:23" ht="14.25" customHeight="1" x14ac:dyDescent="0.3">
      <c r="B864" s="51"/>
      <c r="I864" s="52"/>
      <c r="J864" s="52"/>
      <c r="K864" s="52"/>
      <c r="L864" s="52"/>
      <c r="U864" s="51"/>
      <c r="V864" s="51"/>
      <c r="W864" s="51"/>
    </row>
    <row r="865" spans="2:23" ht="14.25" customHeight="1" x14ac:dyDescent="0.3">
      <c r="B865" s="51"/>
      <c r="I865" s="52"/>
      <c r="J865" s="52"/>
      <c r="K865" s="52"/>
      <c r="L865" s="52"/>
      <c r="U865" s="51"/>
      <c r="V865" s="51"/>
      <c r="W865" s="51"/>
    </row>
    <row r="866" spans="2:23" ht="14.25" customHeight="1" x14ac:dyDescent="0.3">
      <c r="B866" s="51"/>
      <c r="I866" s="52"/>
      <c r="J866" s="52"/>
      <c r="K866" s="52"/>
      <c r="L866" s="52"/>
      <c r="U866" s="51"/>
      <c r="V866" s="51"/>
      <c r="W866" s="51"/>
    </row>
    <row r="867" spans="2:23" ht="14.25" customHeight="1" x14ac:dyDescent="0.3">
      <c r="B867" s="51"/>
      <c r="I867" s="52"/>
      <c r="J867" s="52"/>
      <c r="K867" s="52"/>
      <c r="L867" s="52"/>
      <c r="U867" s="51"/>
      <c r="V867" s="51"/>
      <c r="W867" s="51"/>
    </row>
    <row r="868" spans="2:23" ht="14.25" customHeight="1" x14ac:dyDescent="0.3">
      <c r="B868" s="51"/>
      <c r="I868" s="52"/>
      <c r="J868" s="52"/>
      <c r="K868" s="52"/>
      <c r="L868" s="52"/>
      <c r="U868" s="51"/>
      <c r="V868" s="51"/>
      <c r="W868" s="51"/>
    </row>
    <row r="869" spans="2:23" ht="14.25" customHeight="1" x14ac:dyDescent="0.3">
      <c r="B869" s="51"/>
      <c r="I869" s="52"/>
      <c r="J869" s="52"/>
      <c r="K869" s="52"/>
      <c r="L869" s="52"/>
      <c r="U869" s="51"/>
      <c r="V869" s="51"/>
      <c r="W869" s="51"/>
    </row>
    <row r="870" spans="2:23" ht="14.25" customHeight="1" x14ac:dyDescent="0.3">
      <c r="B870" s="51"/>
      <c r="I870" s="52"/>
      <c r="J870" s="52"/>
      <c r="K870" s="52"/>
      <c r="L870" s="52"/>
      <c r="U870" s="51"/>
      <c r="V870" s="51"/>
      <c r="W870" s="51"/>
    </row>
    <row r="871" spans="2:23" ht="14.25" customHeight="1" x14ac:dyDescent="0.3">
      <c r="B871" s="51"/>
      <c r="I871" s="52"/>
      <c r="J871" s="52"/>
      <c r="K871" s="52"/>
      <c r="L871" s="52"/>
      <c r="U871" s="51"/>
      <c r="V871" s="51"/>
      <c r="W871" s="51"/>
    </row>
    <row r="872" spans="2:23" ht="14.25" customHeight="1" x14ac:dyDescent="0.3">
      <c r="B872" s="51"/>
      <c r="I872" s="52"/>
      <c r="J872" s="52"/>
      <c r="K872" s="52"/>
      <c r="L872" s="52"/>
      <c r="U872" s="51"/>
      <c r="V872" s="51"/>
      <c r="W872" s="51"/>
    </row>
    <row r="873" spans="2:23" ht="14.25" customHeight="1" x14ac:dyDescent="0.3">
      <c r="B873" s="51"/>
      <c r="I873" s="52"/>
      <c r="J873" s="52"/>
      <c r="K873" s="52"/>
      <c r="L873" s="52"/>
      <c r="U873" s="51"/>
      <c r="V873" s="51"/>
      <c r="W873" s="51"/>
    </row>
    <row r="874" spans="2:23" ht="14.25" customHeight="1" x14ac:dyDescent="0.3">
      <c r="B874" s="51"/>
      <c r="I874" s="52"/>
      <c r="J874" s="52"/>
      <c r="K874" s="52"/>
      <c r="L874" s="52"/>
      <c r="U874" s="51"/>
      <c r="V874" s="51"/>
      <c r="W874" s="51"/>
    </row>
    <row r="875" spans="2:23" ht="14.25" customHeight="1" x14ac:dyDescent="0.3">
      <c r="B875" s="51"/>
      <c r="I875" s="52"/>
      <c r="J875" s="52"/>
      <c r="K875" s="52"/>
      <c r="L875" s="52"/>
      <c r="U875" s="51"/>
      <c r="V875" s="51"/>
      <c r="W875" s="51"/>
    </row>
    <row r="876" spans="2:23" ht="14.25" customHeight="1" x14ac:dyDescent="0.3">
      <c r="B876" s="51"/>
      <c r="I876" s="52"/>
      <c r="J876" s="52"/>
      <c r="K876" s="52"/>
      <c r="L876" s="52"/>
      <c r="U876" s="51"/>
      <c r="V876" s="51"/>
      <c r="W876" s="51"/>
    </row>
    <row r="877" spans="2:23" ht="14.25" customHeight="1" x14ac:dyDescent="0.3">
      <c r="B877" s="51"/>
      <c r="I877" s="52"/>
      <c r="J877" s="52"/>
      <c r="K877" s="52"/>
      <c r="L877" s="52"/>
      <c r="U877" s="51"/>
      <c r="V877" s="51"/>
      <c r="W877" s="51"/>
    </row>
    <row r="878" spans="2:23" ht="14.25" customHeight="1" x14ac:dyDescent="0.3">
      <c r="B878" s="51"/>
      <c r="I878" s="52"/>
      <c r="J878" s="52"/>
      <c r="K878" s="52"/>
      <c r="L878" s="52"/>
      <c r="U878" s="51"/>
      <c r="V878" s="51"/>
      <c r="W878" s="51"/>
    </row>
    <row r="879" spans="2:23" ht="14.25" customHeight="1" x14ac:dyDescent="0.3">
      <c r="B879" s="51"/>
      <c r="I879" s="52"/>
      <c r="J879" s="52"/>
      <c r="K879" s="52"/>
      <c r="L879" s="52"/>
      <c r="U879" s="51"/>
      <c r="V879" s="51"/>
      <c r="W879" s="51"/>
    </row>
    <row r="880" spans="2:23" ht="14.25" customHeight="1" x14ac:dyDescent="0.3">
      <c r="B880" s="51"/>
      <c r="I880" s="52"/>
      <c r="J880" s="52"/>
      <c r="K880" s="52"/>
      <c r="L880" s="52"/>
      <c r="U880" s="51"/>
      <c r="V880" s="51"/>
      <c r="W880" s="51"/>
    </row>
    <row r="881" spans="2:23" ht="14.25" customHeight="1" x14ac:dyDescent="0.3">
      <c r="B881" s="51"/>
      <c r="I881" s="52"/>
      <c r="J881" s="52"/>
      <c r="K881" s="52"/>
      <c r="L881" s="52"/>
      <c r="U881" s="51"/>
      <c r="V881" s="51"/>
      <c r="W881" s="51"/>
    </row>
    <row r="882" spans="2:23" ht="14.25" customHeight="1" x14ac:dyDescent="0.3">
      <c r="B882" s="51"/>
      <c r="I882" s="52"/>
      <c r="J882" s="52"/>
      <c r="K882" s="52"/>
      <c r="L882" s="52"/>
      <c r="U882" s="51"/>
      <c r="V882" s="51"/>
      <c r="W882" s="51"/>
    </row>
    <row r="883" spans="2:23" ht="14.25" customHeight="1" x14ac:dyDescent="0.3">
      <c r="B883" s="51"/>
      <c r="I883" s="52"/>
      <c r="J883" s="52"/>
      <c r="K883" s="52"/>
      <c r="L883" s="52"/>
      <c r="U883" s="51"/>
      <c r="V883" s="51"/>
      <c r="W883" s="51"/>
    </row>
    <row r="884" spans="2:23" ht="14.25" customHeight="1" x14ac:dyDescent="0.3">
      <c r="B884" s="51"/>
      <c r="I884" s="52"/>
      <c r="J884" s="52"/>
      <c r="K884" s="52"/>
      <c r="L884" s="52"/>
      <c r="U884" s="51"/>
      <c r="V884" s="51"/>
      <c r="W884" s="51"/>
    </row>
    <row r="885" spans="2:23" ht="14.25" customHeight="1" x14ac:dyDescent="0.3">
      <c r="B885" s="51"/>
      <c r="I885" s="52"/>
      <c r="J885" s="52"/>
      <c r="K885" s="52"/>
      <c r="L885" s="52"/>
      <c r="U885" s="51"/>
      <c r="V885" s="51"/>
      <c r="W885" s="51"/>
    </row>
    <row r="886" spans="2:23" ht="14.25" customHeight="1" x14ac:dyDescent="0.3">
      <c r="B886" s="51"/>
      <c r="I886" s="52"/>
      <c r="J886" s="52"/>
      <c r="K886" s="52"/>
      <c r="L886" s="52"/>
      <c r="U886" s="51"/>
      <c r="V886" s="51"/>
      <c r="W886" s="51"/>
    </row>
    <row r="887" spans="2:23" ht="14.25" customHeight="1" x14ac:dyDescent="0.3">
      <c r="B887" s="51"/>
      <c r="I887" s="52"/>
      <c r="J887" s="52"/>
      <c r="K887" s="52"/>
      <c r="L887" s="52"/>
      <c r="U887" s="51"/>
      <c r="V887" s="51"/>
      <c r="W887" s="51"/>
    </row>
    <row r="888" spans="2:23" ht="14.25" customHeight="1" x14ac:dyDescent="0.3">
      <c r="B888" s="51"/>
      <c r="I888" s="52"/>
      <c r="J888" s="52"/>
      <c r="K888" s="52"/>
      <c r="L888" s="52"/>
      <c r="U888" s="51"/>
      <c r="V888" s="51"/>
      <c r="W888" s="51"/>
    </row>
    <row r="889" spans="2:23" ht="14.25" customHeight="1" x14ac:dyDescent="0.3">
      <c r="B889" s="51"/>
      <c r="I889" s="52"/>
      <c r="J889" s="52"/>
      <c r="K889" s="52"/>
      <c r="L889" s="52"/>
      <c r="U889" s="51"/>
      <c r="V889" s="51"/>
      <c r="W889" s="51"/>
    </row>
    <row r="890" spans="2:23" ht="14.25" customHeight="1" x14ac:dyDescent="0.3">
      <c r="B890" s="51"/>
      <c r="I890" s="52"/>
      <c r="J890" s="52"/>
      <c r="K890" s="52"/>
      <c r="L890" s="52"/>
      <c r="U890" s="51"/>
      <c r="V890" s="51"/>
      <c r="W890" s="51"/>
    </row>
    <row r="891" spans="2:23" ht="14.25" customHeight="1" x14ac:dyDescent="0.3">
      <c r="B891" s="51"/>
      <c r="I891" s="52"/>
      <c r="J891" s="52"/>
      <c r="K891" s="52"/>
      <c r="L891" s="52"/>
      <c r="U891" s="51"/>
      <c r="V891" s="51"/>
      <c r="W891" s="51"/>
    </row>
    <row r="892" spans="2:23" ht="14.25" customHeight="1" x14ac:dyDescent="0.3">
      <c r="B892" s="51"/>
      <c r="I892" s="52"/>
      <c r="J892" s="52"/>
      <c r="K892" s="52"/>
      <c r="L892" s="52"/>
      <c r="U892" s="51"/>
      <c r="V892" s="51"/>
      <c r="W892" s="51"/>
    </row>
    <row r="893" spans="2:23" ht="14.25" customHeight="1" x14ac:dyDescent="0.3">
      <c r="B893" s="51"/>
      <c r="I893" s="52"/>
      <c r="J893" s="52"/>
      <c r="K893" s="52"/>
      <c r="L893" s="52"/>
      <c r="U893" s="51"/>
      <c r="V893" s="51"/>
      <c r="W893" s="51"/>
    </row>
    <row r="894" spans="2:23" ht="14.25" customHeight="1" x14ac:dyDescent="0.3">
      <c r="B894" s="51"/>
      <c r="I894" s="52"/>
      <c r="J894" s="52"/>
      <c r="K894" s="52"/>
      <c r="L894" s="52"/>
      <c r="U894" s="51"/>
      <c r="V894" s="51"/>
      <c r="W894" s="51"/>
    </row>
    <row r="895" spans="2:23" ht="14.25" customHeight="1" x14ac:dyDescent="0.3">
      <c r="B895" s="51"/>
      <c r="I895" s="52"/>
      <c r="J895" s="52"/>
      <c r="K895" s="52"/>
      <c r="L895" s="52"/>
      <c r="U895" s="51"/>
      <c r="V895" s="51"/>
      <c r="W895" s="51"/>
    </row>
    <row r="896" spans="2:23" ht="14.25" customHeight="1" x14ac:dyDescent="0.3">
      <c r="B896" s="51"/>
      <c r="I896" s="52"/>
      <c r="J896" s="52"/>
      <c r="K896" s="52"/>
      <c r="L896" s="52"/>
      <c r="U896" s="51"/>
      <c r="V896" s="51"/>
      <c r="W896" s="51"/>
    </row>
    <row r="897" spans="2:23" ht="14.25" customHeight="1" x14ac:dyDescent="0.3">
      <c r="B897" s="51"/>
      <c r="I897" s="52"/>
      <c r="J897" s="52"/>
      <c r="K897" s="52"/>
      <c r="L897" s="52"/>
      <c r="U897" s="51"/>
      <c r="V897" s="51"/>
      <c r="W897" s="51"/>
    </row>
    <row r="898" spans="2:23" ht="14.25" customHeight="1" x14ac:dyDescent="0.3">
      <c r="B898" s="51"/>
      <c r="I898" s="52"/>
      <c r="J898" s="52"/>
      <c r="K898" s="52"/>
      <c r="L898" s="52"/>
      <c r="U898" s="51"/>
      <c r="V898" s="51"/>
      <c r="W898" s="51"/>
    </row>
    <row r="899" spans="2:23" ht="14.25" customHeight="1" x14ac:dyDescent="0.3">
      <c r="B899" s="51"/>
      <c r="I899" s="52"/>
      <c r="J899" s="52"/>
      <c r="K899" s="52"/>
      <c r="L899" s="52"/>
      <c r="U899" s="51"/>
      <c r="V899" s="51"/>
      <c r="W899" s="51"/>
    </row>
    <row r="900" spans="2:23" ht="14.25" customHeight="1" x14ac:dyDescent="0.3">
      <c r="B900" s="51"/>
      <c r="I900" s="52"/>
      <c r="J900" s="52"/>
      <c r="K900" s="52"/>
      <c r="L900" s="52"/>
      <c r="U900" s="51"/>
      <c r="V900" s="51"/>
      <c r="W900" s="51"/>
    </row>
    <row r="901" spans="2:23" ht="14.25" customHeight="1" x14ac:dyDescent="0.3">
      <c r="B901" s="51"/>
      <c r="I901" s="52"/>
      <c r="J901" s="52"/>
      <c r="K901" s="52"/>
      <c r="L901" s="52"/>
      <c r="U901" s="51"/>
      <c r="V901" s="51"/>
      <c r="W901" s="51"/>
    </row>
    <row r="902" spans="2:23" ht="14.25" customHeight="1" x14ac:dyDescent="0.3">
      <c r="B902" s="51"/>
      <c r="I902" s="52"/>
      <c r="J902" s="52"/>
      <c r="K902" s="52"/>
      <c r="L902" s="52"/>
      <c r="U902" s="51"/>
      <c r="V902" s="51"/>
      <c r="W902" s="51"/>
    </row>
    <row r="903" spans="2:23" ht="14.25" customHeight="1" x14ac:dyDescent="0.3">
      <c r="B903" s="51"/>
      <c r="I903" s="52"/>
      <c r="J903" s="52"/>
      <c r="K903" s="52"/>
      <c r="L903" s="52"/>
      <c r="U903" s="51"/>
      <c r="V903" s="51"/>
      <c r="W903" s="51"/>
    </row>
    <row r="904" spans="2:23" ht="14.25" customHeight="1" x14ac:dyDescent="0.3">
      <c r="B904" s="51"/>
      <c r="I904" s="52"/>
      <c r="J904" s="52"/>
      <c r="K904" s="52"/>
      <c r="L904" s="52"/>
      <c r="U904" s="51"/>
      <c r="V904" s="51"/>
      <c r="W904" s="51"/>
    </row>
    <row r="905" spans="2:23" ht="14.25" customHeight="1" x14ac:dyDescent="0.3">
      <c r="B905" s="51"/>
      <c r="I905" s="52"/>
      <c r="J905" s="52"/>
      <c r="K905" s="52"/>
      <c r="L905" s="52"/>
      <c r="U905" s="51"/>
      <c r="V905" s="51"/>
      <c r="W905" s="51"/>
    </row>
    <row r="906" spans="2:23" ht="14.25" customHeight="1" x14ac:dyDescent="0.3">
      <c r="B906" s="51"/>
      <c r="I906" s="52"/>
      <c r="J906" s="52"/>
      <c r="K906" s="52"/>
      <c r="L906" s="52"/>
      <c r="U906" s="51"/>
      <c r="V906" s="51"/>
      <c r="W906" s="51"/>
    </row>
    <row r="907" spans="2:23" ht="14.25" customHeight="1" x14ac:dyDescent="0.3">
      <c r="B907" s="51"/>
      <c r="I907" s="52"/>
      <c r="J907" s="52"/>
      <c r="K907" s="52"/>
      <c r="L907" s="52"/>
      <c r="U907" s="51"/>
      <c r="V907" s="51"/>
      <c r="W907" s="51"/>
    </row>
    <row r="908" spans="2:23" ht="14.25" customHeight="1" x14ac:dyDescent="0.3">
      <c r="B908" s="51"/>
      <c r="I908" s="52"/>
      <c r="J908" s="52"/>
      <c r="K908" s="52"/>
      <c r="L908" s="52"/>
      <c r="U908" s="51"/>
      <c r="V908" s="51"/>
      <c r="W908" s="51"/>
    </row>
    <row r="909" spans="2:23" ht="14.25" customHeight="1" x14ac:dyDescent="0.3">
      <c r="B909" s="51"/>
      <c r="I909" s="52"/>
      <c r="J909" s="52"/>
      <c r="K909" s="52"/>
      <c r="L909" s="52"/>
      <c r="U909" s="51"/>
      <c r="V909" s="51"/>
      <c r="W909" s="51"/>
    </row>
    <row r="910" spans="2:23" ht="14.25" customHeight="1" x14ac:dyDescent="0.3">
      <c r="B910" s="51"/>
      <c r="I910" s="52"/>
      <c r="J910" s="52"/>
      <c r="K910" s="52"/>
      <c r="L910" s="52"/>
      <c r="U910" s="51"/>
      <c r="V910" s="51"/>
      <c r="W910" s="51"/>
    </row>
    <row r="911" spans="2:23" ht="14.25" customHeight="1" x14ac:dyDescent="0.3">
      <c r="B911" s="51"/>
      <c r="I911" s="52"/>
      <c r="J911" s="52"/>
      <c r="K911" s="52"/>
      <c r="L911" s="52"/>
      <c r="U911" s="51"/>
      <c r="V911" s="51"/>
      <c r="W911" s="51"/>
    </row>
    <row r="912" spans="2:23" ht="14.25" customHeight="1" x14ac:dyDescent="0.3">
      <c r="B912" s="51"/>
      <c r="I912" s="52"/>
      <c r="J912" s="52"/>
      <c r="K912" s="52"/>
      <c r="L912" s="52"/>
      <c r="U912" s="51"/>
      <c r="V912" s="51"/>
      <c r="W912" s="51"/>
    </row>
    <row r="913" spans="2:23" ht="14.25" customHeight="1" x14ac:dyDescent="0.3">
      <c r="B913" s="51"/>
      <c r="I913" s="52"/>
      <c r="J913" s="52"/>
      <c r="K913" s="52"/>
      <c r="L913" s="52"/>
      <c r="U913" s="51"/>
      <c r="V913" s="51"/>
      <c r="W913" s="51"/>
    </row>
    <row r="914" spans="2:23" ht="14.25" customHeight="1" x14ac:dyDescent="0.3">
      <c r="B914" s="51"/>
      <c r="I914" s="52"/>
      <c r="J914" s="52"/>
      <c r="K914" s="52"/>
      <c r="L914" s="52"/>
      <c r="U914" s="51"/>
      <c r="V914" s="51"/>
      <c r="W914" s="51"/>
    </row>
    <row r="915" spans="2:23" ht="14.25" customHeight="1" x14ac:dyDescent="0.3">
      <c r="B915" s="51"/>
      <c r="I915" s="52"/>
      <c r="J915" s="52"/>
      <c r="K915" s="52"/>
      <c r="L915" s="52"/>
      <c r="U915" s="51"/>
      <c r="V915" s="51"/>
      <c r="W915" s="51"/>
    </row>
    <row r="916" spans="2:23" ht="14.25" customHeight="1" x14ac:dyDescent="0.3">
      <c r="B916" s="51"/>
      <c r="I916" s="52"/>
      <c r="J916" s="52"/>
      <c r="K916" s="52"/>
      <c r="L916" s="52"/>
      <c r="U916" s="51"/>
      <c r="V916" s="51"/>
      <c r="W916" s="51"/>
    </row>
    <row r="917" spans="2:23" ht="14.25" customHeight="1" x14ac:dyDescent="0.3">
      <c r="B917" s="51"/>
      <c r="I917" s="52"/>
      <c r="J917" s="52"/>
      <c r="K917" s="52"/>
      <c r="L917" s="52"/>
      <c r="U917" s="51"/>
      <c r="V917" s="51"/>
      <c r="W917" s="51"/>
    </row>
    <row r="918" spans="2:23" ht="14.25" customHeight="1" x14ac:dyDescent="0.3">
      <c r="B918" s="51"/>
      <c r="I918" s="52"/>
      <c r="J918" s="52"/>
      <c r="K918" s="52"/>
      <c r="L918" s="52"/>
      <c r="U918" s="51"/>
      <c r="V918" s="51"/>
      <c r="W918" s="51"/>
    </row>
    <row r="919" spans="2:23" ht="14.25" customHeight="1" x14ac:dyDescent="0.3">
      <c r="B919" s="51"/>
      <c r="I919" s="52"/>
      <c r="J919" s="52"/>
      <c r="K919" s="52"/>
      <c r="L919" s="52"/>
      <c r="U919" s="51"/>
      <c r="V919" s="51"/>
      <c r="W919" s="51"/>
    </row>
    <row r="920" spans="2:23" ht="14.25" customHeight="1" x14ac:dyDescent="0.3">
      <c r="B920" s="51"/>
      <c r="I920" s="52"/>
      <c r="J920" s="52"/>
      <c r="K920" s="52"/>
      <c r="L920" s="52"/>
      <c r="U920" s="51"/>
      <c r="V920" s="51"/>
      <c r="W920" s="51"/>
    </row>
    <row r="921" spans="2:23" ht="14.25" customHeight="1" x14ac:dyDescent="0.3">
      <c r="B921" s="51"/>
      <c r="I921" s="52"/>
      <c r="J921" s="52"/>
      <c r="K921" s="52"/>
      <c r="L921" s="52"/>
      <c r="U921" s="51"/>
      <c r="V921" s="51"/>
      <c r="W921" s="51"/>
    </row>
    <row r="922" spans="2:23" ht="14.25" customHeight="1" x14ac:dyDescent="0.3">
      <c r="B922" s="51"/>
      <c r="I922" s="52"/>
      <c r="J922" s="52"/>
      <c r="K922" s="52"/>
      <c r="L922" s="52"/>
      <c r="U922" s="51"/>
      <c r="V922" s="51"/>
      <c r="W922" s="51"/>
    </row>
    <row r="923" spans="2:23" ht="14.25" customHeight="1" x14ac:dyDescent="0.3">
      <c r="B923" s="51"/>
      <c r="I923" s="52"/>
      <c r="J923" s="52"/>
      <c r="K923" s="52"/>
      <c r="L923" s="52"/>
      <c r="U923" s="51"/>
      <c r="V923" s="51"/>
      <c r="W923" s="51"/>
    </row>
    <row r="924" spans="2:23" ht="14.25" customHeight="1" x14ac:dyDescent="0.3">
      <c r="B924" s="51"/>
      <c r="I924" s="52"/>
      <c r="J924" s="52"/>
      <c r="K924" s="52"/>
      <c r="L924" s="52"/>
      <c r="U924" s="51"/>
      <c r="V924" s="51"/>
      <c r="W924" s="51"/>
    </row>
    <row r="925" spans="2:23" ht="14.25" customHeight="1" x14ac:dyDescent="0.3">
      <c r="B925" s="51"/>
      <c r="I925" s="52"/>
      <c r="J925" s="52"/>
      <c r="K925" s="52"/>
      <c r="L925" s="52"/>
      <c r="U925" s="51"/>
      <c r="V925" s="51"/>
      <c r="W925" s="51"/>
    </row>
    <row r="926" spans="2:23" ht="14.25" customHeight="1" x14ac:dyDescent="0.3">
      <c r="B926" s="51"/>
      <c r="I926" s="52"/>
      <c r="J926" s="52"/>
      <c r="K926" s="52"/>
      <c r="L926" s="52"/>
      <c r="U926" s="51"/>
      <c r="V926" s="51"/>
      <c r="W926" s="51"/>
    </row>
    <row r="927" spans="2:23" ht="14.25" customHeight="1" x14ac:dyDescent="0.3">
      <c r="B927" s="51"/>
      <c r="I927" s="52"/>
      <c r="J927" s="52"/>
      <c r="K927" s="52"/>
      <c r="L927" s="52"/>
      <c r="U927" s="51"/>
      <c r="V927" s="51"/>
      <c r="W927" s="51"/>
    </row>
    <row r="928" spans="2:23" ht="14.25" customHeight="1" x14ac:dyDescent="0.3">
      <c r="B928" s="51"/>
      <c r="I928" s="52"/>
      <c r="J928" s="52"/>
      <c r="K928" s="52"/>
      <c r="L928" s="52"/>
      <c r="U928" s="51"/>
      <c r="V928" s="51"/>
      <c r="W928" s="51"/>
    </row>
    <row r="929" spans="2:23" ht="14.25" customHeight="1" x14ac:dyDescent="0.3">
      <c r="B929" s="51"/>
      <c r="I929" s="52"/>
      <c r="J929" s="52"/>
      <c r="K929" s="52"/>
      <c r="L929" s="52"/>
      <c r="U929" s="51"/>
      <c r="V929" s="51"/>
      <c r="W929" s="51"/>
    </row>
  </sheetData>
  <customSheetViews>
    <customSheetView guid="{481A2CBD-9B07-47CD-9FC6-C0BEB5DC004E}" filter="1" showAutoFilter="1">
      <pageMargins left="0.7" right="0.7" top="0.75" bottom="0.75" header="0.3" footer="0.3"/>
      <autoFilter ref="B1:X69" xr:uid="{06A567A7-C0F2-495B-8F4A-5849D5C9F43D}"/>
      <extLst>
        <ext uri="GoogleSheetsCustomDataVersion1">
          <go:sheetsCustomData xmlns:go="http://customooxmlschemas.google.com/" filterViewId="2128045996"/>
        </ext>
      </extLst>
    </customSheetView>
  </customSheetViews>
  <dataValidations count="4">
    <dataValidation type="list" allowBlank="1" showErrorMessage="1" sqref="H2:H76" xr:uid="{00000000-0002-0000-0000-000000000000}">
      <formula1>"Cancelado,Declinada,En construccion,Ganada,Perdida,Presentada,Fase Preliminar"</formula1>
    </dataValidation>
    <dataValidation type="list" allowBlank="1" showErrorMessage="1" sqref="I2:I76" xr:uid="{00000000-0002-0000-0000-000001000000}">
      <formula1>"Fase Preliminar,Ronda 1,Ronda 2,Ronda 3,Sin Feedback cliente"</formula1>
    </dataValidation>
    <dataValidation type="custom" allowBlank="1" showDropDown="1" sqref="A2:A65 L2:L65 A67:A68 L67:L68" xr:uid="{00000000-0002-0000-0000-000002000000}">
      <formula1>OR(NOT(ISERROR(DATEVALUE(A2))), AND(ISNUMBER(A2), LEFT(CELL("format", A2))="D"))</formula1>
    </dataValidation>
    <dataValidation type="list" allowBlank="1" showErrorMessage="1" sqref="J2:J76" xr:uid="{00000000-0002-0000-0000-000003000000}">
      <formula1>"0%,25%,50%,75%,100%"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workbookViewId="0">
      <selection activeCell="B22" sqref="B22"/>
    </sheetView>
  </sheetViews>
  <sheetFormatPr baseColWidth="10" defaultColWidth="14.44140625" defaultRowHeight="15" customHeight="1" x14ac:dyDescent="0.3"/>
  <cols>
    <col min="1" max="1" width="11.109375" customWidth="1"/>
    <col min="2" max="2" width="26.109375" customWidth="1"/>
    <col min="3" max="3" width="10.6640625" customWidth="1"/>
    <col min="4" max="4" width="11.88671875" customWidth="1"/>
    <col min="5" max="6" width="21.5546875" customWidth="1"/>
    <col min="7" max="7" width="17.44140625" customWidth="1"/>
    <col min="8" max="8" width="41.44140625" customWidth="1"/>
    <col min="9" max="9" width="23.33203125" customWidth="1"/>
    <col min="10" max="10" width="21.33203125" customWidth="1"/>
    <col min="11" max="11" width="18" customWidth="1"/>
    <col min="12" max="12" width="10.6640625" customWidth="1"/>
    <col min="13" max="13" width="15.88671875" customWidth="1"/>
    <col min="14" max="15" width="54.33203125" hidden="1" customWidth="1"/>
    <col min="16" max="16" width="29.33203125" customWidth="1"/>
    <col min="17" max="17" width="29.44140625" customWidth="1"/>
    <col min="18" max="35" width="10.6640625" customWidth="1"/>
  </cols>
  <sheetData>
    <row r="1" spans="1:35" ht="33" customHeight="1" x14ac:dyDescent="0.3">
      <c r="A1" s="1" t="s">
        <v>0</v>
      </c>
      <c r="B1" s="53" t="s">
        <v>1</v>
      </c>
      <c r="C1" s="5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367</v>
      </c>
      <c r="I1" s="1" t="s">
        <v>7</v>
      </c>
      <c r="J1" s="1" t="s">
        <v>8</v>
      </c>
      <c r="K1" s="1" t="s">
        <v>9</v>
      </c>
      <c r="L1" s="1" t="s">
        <v>368</v>
      </c>
      <c r="M1" s="53" t="s">
        <v>11</v>
      </c>
      <c r="N1" s="53" t="s">
        <v>369</v>
      </c>
      <c r="O1" s="1" t="s">
        <v>370</v>
      </c>
      <c r="P1" s="2" t="s">
        <v>21</v>
      </c>
      <c r="Q1" s="2" t="s">
        <v>22</v>
      </c>
      <c r="R1" s="1" t="s">
        <v>23</v>
      </c>
      <c r="S1" s="54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5.75" customHeight="1" x14ac:dyDescent="0.3">
      <c r="A2" s="55">
        <v>46027</v>
      </c>
      <c r="B2" s="56" t="s">
        <v>371</v>
      </c>
      <c r="C2" s="57" t="s">
        <v>39</v>
      </c>
      <c r="D2" s="58">
        <v>12</v>
      </c>
      <c r="E2" s="59">
        <v>185000000</v>
      </c>
      <c r="F2" s="60">
        <f t="shared" ref="F2:F16" si="0">D2*E2</f>
        <v>2220000000</v>
      </c>
      <c r="G2" s="61" t="s">
        <v>26</v>
      </c>
      <c r="H2" s="61" t="s">
        <v>372</v>
      </c>
      <c r="I2" s="62" t="s">
        <v>27</v>
      </c>
      <c r="J2" s="62" t="s">
        <v>28</v>
      </c>
      <c r="K2" s="63">
        <v>0.5</v>
      </c>
      <c r="L2" s="64"/>
      <c r="M2" s="55">
        <v>46040</v>
      </c>
      <c r="N2" s="61" t="s">
        <v>373</v>
      </c>
      <c r="O2" s="61" t="s">
        <v>374</v>
      </c>
      <c r="P2" s="6" t="s">
        <v>375</v>
      </c>
      <c r="Q2" s="6"/>
      <c r="R2" s="6" t="str">
        <f t="shared" ref="R2:R48" ca="1" si="1">IFERROR(_xludf.IFS(
I2="CANCELADO",0,
I2="PRESENTADA",1,
I2="EN CONSTRUCCION",2,
I2="GANADA",3,
I2="PERDIDA",4,
I2="NO PRESENTADA",5,
I2="DECLINADA",6,
I2="Fase Preliminar",7,
I2="Retomar Contacto",8
),"")</f>
        <v/>
      </c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5.75" customHeight="1" x14ac:dyDescent="0.3">
      <c r="A3" s="55">
        <v>46027</v>
      </c>
      <c r="B3" s="56" t="s">
        <v>376</v>
      </c>
      <c r="C3" s="57" t="s">
        <v>39</v>
      </c>
      <c r="D3" s="58">
        <v>12</v>
      </c>
      <c r="E3" s="59">
        <v>529000000</v>
      </c>
      <c r="F3" s="60">
        <f t="shared" si="0"/>
        <v>6348000000</v>
      </c>
      <c r="G3" s="61" t="s">
        <v>26</v>
      </c>
      <c r="H3" s="61" t="s">
        <v>377</v>
      </c>
      <c r="I3" s="62" t="s">
        <v>27</v>
      </c>
      <c r="J3" s="62" t="s">
        <v>28</v>
      </c>
      <c r="K3" s="63">
        <v>0.5</v>
      </c>
      <c r="L3" s="64"/>
      <c r="M3" s="55">
        <v>46044</v>
      </c>
      <c r="N3" s="61" t="s">
        <v>378</v>
      </c>
      <c r="O3" s="61" t="s">
        <v>379</v>
      </c>
      <c r="P3" s="61" t="s">
        <v>379</v>
      </c>
      <c r="Q3" s="6"/>
      <c r="R3" s="6" t="str">
        <f t="shared" ca="1" si="1"/>
        <v/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5.75" customHeight="1" x14ac:dyDescent="0.3">
      <c r="A4" s="55">
        <v>46027</v>
      </c>
      <c r="B4" s="56" t="s">
        <v>380</v>
      </c>
      <c r="C4" s="57" t="s">
        <v>39</v>
      </c>
      <c r="D4" s="58">
        <v>12</v>
      </c>
      <c r="E4" s="59">
        <v>85000000</v>
      </c>
      <c r="F4" s="60">
        <f t="shared" si="0"/>
        <v>1020000000</v>
      </c>
      <c r="G4" s="61" t="s">
        <v>26</v>
      </c>
      <c r="H4" s="61" t="s">
        <v>381</v>
      </c>
      <c r="I4" s="62" t="s">
        <v>27</v>
      </c>
      <c r="J4" s="62" t="s">
        <v>28</v>
      </c>
      <c r="K4" s="63">
        <v>0.5</v>
      </c>
      <c r="L4" s="64"/>
      <c r="M4" s="55">
        <v>46062</v>
      </c>
      <c r="N4" s="61" t="s">
        <v>382</v>
      </c>
      <c r="O4" s="61" t="s">
        <v>383</v>
      </c>
      <c r="P4" s="6" t="s">
        <v>375</v>
      </c>
      <c r="Q4" s="6"/>
      <c r="R4" s="6" t="str">
        <f t="shared" ca="1" si="1"/>
        <v/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.75" customHeight="1" x14ac:dyDescent="0.3">
      <c r="A5" s="55">
        <v>45972</v>
      </c>
      <c r="B5" s="56" t="s">
        <v>384</v>
      </c>
      <c r="C5" s="57" t="s">
        <v>39</v>
      </c>
      <c r="D5" s="62">
        <v>12</v>
      </c>
      <c r="E5" s="59">
        <v>0</v>
      </c>
      <c r="F5" s="60">
        <f t="shared" si="0"/>
        <v>0</v>
      </c>
      <c r="G5" s="61" t="s">
        <v>385</v>
      </c>
      <c r="H5" s="61" t="s">
        <v>386</v>
      </c>
      <c r="I5" s="62" t="s">
        <v>387</v>
      </c>
      <c r="J5" s="62" t="s">
        <v>116</v>
      </c>
      <c r="K5" s="63"/>
      <c r="L5" s="61"/>
      <c r="M5" s="55"/>
      <c r="N5" s="61" t="s">
        <v>388</v>
      </c>
      <c r="O5" s="61" t="s">
        <v>388</v>
      </c>
      <c r="P5" s="61" t="s">
        <v>388</v>
      </c>
      <c r="Q5" s="6"/>
      <c r="R5" s="6" t="str">
        <f t="shared" ca="1" si="1"/>
        <v/>
      </c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ht="15.75" customHeight="1" x14ac:dyDescent="0.3">
      <c r="A6" s="55">
        <v>46057</v>
      </c>
      <c r="B6" s="56" t="s">
        <v>389</v>
      </c>
      <c r="C6" s="57" t="s">
        <v>114</v>
      </c>
      <c r="D6" s="58">
        <v>12</v>
      </c>
      <c r="E6" s="59">
        <v>50000000</v>
      </c>
      <c r="F6" s="60">
        <f t="shared" si="0"/>
        <v>600000000</v>
      </c>
      <c r="G6" s="61" t="s">
        <v>26</v>
      </c>
      <c r="H6" s="61" t="s">
        <v>390</v>
      </c>
      <c r="I6" s="62" t="s">
        <v>27</v>
      </c>
      <c r="J6" s="62" t="s">
        <v>28</v>
      </c>
      <c r="K6" s="63">
        <v>0.5</v>
      </c>
      <c r="L6" s="64"/>
      <c r="M6" s="55">
        <v>46065</v>
      </c>
      <c r="N6" s="61" t="s">
        <v>391</v>
      </c>
      <c r="O6" s="61" t="s">
        <v>392</v>
      </c>
      <c r="P6" s="61" t="s">
        <v>392</v>
      </c>
      <c r="Q6" s="6"/>
      <c r="R6" s="6" t="str">
        <f t="shared" ca="1" si="1"/>
        <v/>
      </c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spans="1:35" ht="15.75" customHeight="1" x14ac:dyDescent="0.3">
      <c r="A7" s="55">
        <v>46058</v>
      </c>
      <c r="B7" s="56" t="s">
        <v>393</v>
      </c>
      <c r="C7" s="57" t="s">
        <v>114</v>
      </c>
      <c r="D7" s="62">
        <v>12</v>
      </c>
      <c r="E7" s="59">
        <v>18000000</v>
      </c>
      <c r="F7" s="60">
        <f t="shared" si="0"/>
        <v>216000000</v>
      </c>
      <c r="G7" s="61" t="s">
        <v>385</v>
      </c>
      <c r="H7" s="61" t="s">
        <v>394</v>
      </c>
      <c r="I7" s="62" t="s">
        <v>115</v>
      </c>
      <c r="J7" s="62" t="s">
        <v>116</v>
      </c>
      <c r="K7" s="63"/>
      <c r="L7" s="65" t="s">
        <v>395</v>
      </c>
      <c r="M7" s="55">
        <v>46069</v>
      </c>
      <c r="N7" s="61" t="s">
        <v>396</v>
      </c>
      <c r="O7" s="61" t="s">
        <v>397</v>
      </c>
      <c r="P7" s="6" t="s">
        <v>398</v>
      </c>
      <c r="Q7" s="6"/>
      <c r="R7" s="6" t="str">
        <f t="shared" ca="1" si="1"/>
        <v/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spans="1:35" ht="15.75" customHeight="1" x14ac:dyDescent="0.3">
      <c r="A8" s="55">
        <v>46059</v>
      </c>
      <c r="B8" s="56" t="s">
        <v>399</v>
      </c>
      <c r="C8" s="57" t="s">
        <v>39</v>
      </c>
      <c r="D8" s="58">
        <v>12</v>
      </c>
      <c r="E8" s="59">
        <v>125000000</v>
      </c>
      <c r="F8" s="60">
        <f t="shared" si="0"/>
        <v>1500000000</v>
      </c>
      <c r="G8" s="61" t="s">
        <v>26</v>
      </c>
      <c r="H8" s="61" t="s">
        <v>400</v>
      </c>
      <c r="I8" s="62" t="s">
        <v>27</v>
      </c>
      <c r="J8" s="62" t="s">
        <v>182</v>
      </c>
      <c r="K8" s="63">
        <v>0.25</v>
      </c>
      <c r="L8" s="64"/>
      <c r="M8" s="55">
        <v>46064</v>
      </c>
      <c r="N8" s="61" t="s">
        <v>401</v>
      </c>
      <c r="O8" s="61" t="s">
        <v>402</v>
      </c>
      <c r="P8" s="61" t="s">
        <v>403</v>
      </c>
      <c r="Q8" s="6"/>
      <c r="R8" s="6" t="str">
        <f t="shared" ca="1" si="1"/>
        <v/>
      </c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.75" customHeight="1" x14ac:dyDescent="0.3">
      <c r="A9" s="55">
        <v>46059</v>
      </c>
      <c r="B9" s="56" t="s">
        <v>404</v>
      </c>
      <c r="C9" s="57" t="s">
        <v>39</v>
      </c>
      <c r="D9" s="58">
        <v>12</v>
      </c>
      <c r="E9" s="59">
        <v>148000000</v>
      </c>
      <c r="F9" s="60">
        <f t="shared" si="0"/>
        <v>1776000000</v>
      </c>
      <c r="G9" s="61" t="s">
        <v>26</v>
      </c>
      <c r="H9" s="61" t="s">
        <v>405</v>
      </c>
      <c r="I9" s="62" t="s">
        <v>27</v>
      </c>
      <c r="J9" s="62" t="s">
        <v>182</v>
      </c>
      <c r="K9" s="63">
        <v>0.25</v>
      </c>
      <c r="L9" s="64"/>
      <c r="M9" s="55">
        <v>46064</v>
      </c>
      <c r="N9" s="61" t="s">
        <v>406</v>
      </c>
      <c r="O9" s="61" t="s">
        <v>406</v>
      </c>
      <c r="P9" s="6" t="s">
        <v>407</v>
      </c>
      <c r="Q9" s="6"/>
      <c r="R9" s="6" t="str">
        <f t="shared" ca="1" si="1"/>
        <v/>
      </c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.75" customHeight="1" x14ac:dyDescent="0.3">
      <c r="A10" s="55">
        <v>46061</v>
      </c>
      <c r="B10" s="56" t="s">
        <v>408</v>
      </c>
      <c r="C10" s="57" t="s">
        <v>39</v>
      </c>
      <c r="D10" s="62">
        <v>12</v>
      </c>
      <c r="E10" s="59">
        <v>0</v>
      </c>
      <c r="F10" s="60">
        <f t="shared" si="0"/>
        <v>0</v>
      </c>
      <c r="G10" s="61" t="s">
        <v>385</v>
      </c>
      <c r="H10" s="61" t="s">
        <v>409</v>
      </c>
      <c r="I10" s="62" t="s">
        <v>116</v>
      </c>
      <c r="J10" s="62" t="s">
        <v>116</v>
      </c>
      <c r="K10" s="63"/>
      <c r="L10" s="61"/>
      <c r="M10" s="55"/>
      <c r="N10" s="61" t="s">
        <v>410</v>
      </c>
      <c r="O10" s="61" t="s">
        <v>411</v>
      </c>
      <c r="P10" s="61" t="s">
        <v>411</v>
      </c>
      <c r="Q10" s="6"/>
      <c r="R10" s="6" t="str">
        <f t="shared" ca="1" si="1"/>
        <v/>
      </c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5.75" customHeight="1" x14ac:dyDescent="0.3">
      <c r="A11" s="55">
        <v>46063</v>
      </c>
      <c r="B11" s="56" t="s">
        <v>412</v>
      </c>
      <c r="C11" s="57" t="s">
        <v>39</v>
      </c>
      <c r="D11" s="58">
        <v>12</v>
      </c>
      <c r="E11" s="59">
        <v>60000000</v>
      </c>
      <c r="F11" s="60">
        <f t="shared" si="0"/>
        <v>720000000</v>
      </c>
      <c r="G11" s="61" t="s">
        <v>26</v>
      </c>
      <c r="H11" s="61" t="s">
        <v>413</v>
      </c>
      <c r="I11" s="62" t="s">
        <v>40</v>
      </c>
      <c r="J11" s="62" t="s">
        <v>28</v>
      </c>
      <c r="K11" s="63">
        <v>0</v>
      </c>
      <c r="L11" s="64"/>
      <c r="M11" s="55">
        <v>46045</v>
      </c>
      <c r="N11" s="61" t="s">
        <v>414</v>
      </c>
      <c r="O11" s="61" t="s">
        <v>415</v>
      </c>
      <c r="P11" s="61" t="s">
        <v>415</v>
      </c>
      <c r="Q11" s="6"/>
      <c r="R11" s="6" t="str">
        <f t="shared" ca="1" si="1"/>
        <v/>
      </c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.75" customHeight="1" x14ac:dyDescent="0.3">
      <c r="A12" s="55">
        <v>46054</v>
      </c>
      <c r="B12" s="56" t="s">
        <v>416</v>
      </c>
      <c r="C12" s="57" t="s">
        <v>43</v>
      </c>
      <c r="D12" s="58">
        <v>12</v>
      </c>
      <c r="E12" s="59">
        <v>500000000</v>
      </c>
      <c r="F12" s="60">
        <f t="shared" si="0"/>
        <v>6000000000</v>
      </c>
      <c r="G12" s="61" t="s">
        <v>385</v>
      </c>
      <c r="H12" s="61" t="s">
        <v>417</v>
      </c>
      <c r="I12" s="62" t="s">
        <v>40</v>
      </c>
      <c r="J12" s="62" t="s">
        <v>182</v>
      </c>
      <c r="K12" s="63">
        <v>0</v>
      </c>
      <c r="L12" s="64"/>
      <c r="M12" s="55">
        <v>46065</v>
      </c>
      <c r="N12" s="61" t="s">
        <v>418</v>
      </c>
      <c r="O12" s="61" t="s">
        <v>419</v>
      </c>
      <c r="P12" s="61" t="s">
        <v>419</v>
      </c>
      <c r="Q12" s="6"/>
      <c r="R12" s="6" t="str">
        <f t="shared" ca="1" si="1"/>
        <v/>
      </c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5.75" customHeight="1" x14ac:dyDescent="0.3">
      <c r="A13" s="55">
        <v>46054</v>
      </c>
      <c r="B13" s="56" t="s">
        <v>416</v>
      </c>
      <c r="C13" s="57" t="s">
        <v>39</v>
      </c>
      <c r="D13" s="62">
        <v>12</v>
      </c>
      <c r="E13" s="59">
        <v>200000000</v>
      </c>
      <c r="F13" s="60">
        <f t="shared" si="0"/>
        <v>2400000000</v>
      </c>
      <c r="G13" s="61" t="s">
        <v>385</v>
      </c>
      <c r="H13" s="61" t="s">
        <v>420</v>
      </c>
      <c r="I13" s="62" t="s">
        <v>27</v>
      </c>
      <c r="J13" s="62" t="s">
        <v>182</v>
      </c>
      <c r="K13" s="63">
        <v>0.25</v>
      </c>
      <c r="L13" s="64"/>
      <c r="M13" s="55">
        <v>46072</v>
      </c>
      <c r="N13" s="61"/>
      <c r="O13" s="61" t="s">
        <v>421</v>
      </c>
      <c r="P13" s="6" t="s">
        <v>422</v>
      </c>
      <c r="Q13" s="6"/>
      <c r="R13" s="6" t="str">
        <f t="shared" ca="1" si="1"/>
        <v/>
      </c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1:35" ht="15.75" customHeight="1" x14ac:dyDescent="0.3">
      <c r="A14" s="55">
        <v>46034</v>
      </c>
      <c r="B14" s="56" t="s">
        <v>423</v>
      </c>
      <c r="C14" s="57" t="s">
        <v>39</v>
      </c>
      <c r="D14" s="58">
        <v>12</v>
      </c>
      <c r="E14" s="59">
        <v>300000000</v>
      </c>
      <c r="F14" s="60">
        <f t="shared" si="0"/>
        <v>3600000000</v>
      </c>
      <c r="G14" s="61" t="s">
        <v>385</v>
      </c>
      <c r="H14" s="61" t="s">
        <v>424</v>
      </c>
      <c r="I14" s="62" t="s">
        <v>27</v>
      </c>
      <c r="J14" s="62" t="s">
        <v>28</v>
      </c>
      <c r="K14" s="63">
        <v>0.5</v>
      </c>
      <c r="L14" s="64"/>
      <c r="M14" s="55">
        <v>46073</v>
      </c>
      <c r="N14" s="61" t="s">
        <v>425</v>
      </c>
      <c r="O14" s="61" t="s">
        <v>426</v>
      </c>
      <c r="P14" s="6" t="s">
        <v>427</v>
      </c>
      <c r="Q14" s="6"/>
      <c r="R14" s="6" t="str">
        <f t="shared" ca="1" si="1"/>
        <v/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.75" customHeight="1" x14ac:dyDescent="0.3">
      <c r="A15" s="55">
        <v>46035</v>
      </c>
      <c r="B15" s="61" t="s">
        <v>428</v>
      </c>
      <c r="C15" s="57" t="s">
        <v>43</v>
      </c>
      <c r="D15" s="62">
        <v>12</v>
      </c>
      <c r="E15" s="60">
        <v>200000000</v>
      </c>
      <c r="F15" s="60">
        <f t="shared" si="0"/>
        <v>2400000000</v>
      </c>
      <c r="G15" s="61" t="s">
        <v>26</v>
      </c>
      <c r="H15" s="61" t="s">
        <v>429</v>
      </c>
      <c r="I15" s="62" t="s">
        <v>64</v>
      </c>
      <c r="J15" s="62" t="s">
        <v>28</v>
      </c>
      <c r="K15" s="63">
        <v>0.75</v>
      </c>
      <c r="L15" s="61"/>
      <c r="M15" s="55">
        <v>46079</v>
      </c>
      <c r="N15" s="61"/>
      <c r="O15" s="61" t="s">
        <v>430</v>
      </c>
      <c r="P15" s="6" t="s">
        <v>431</v>
      </c>
      <c r="Q15" s="6"/>
      <c r="R15" s="6" t="str">
        <f t="shared" ca="1" si="1"/>
        <v/>
      </c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5.75" customHeight="1" x14ac:dyDescent="0.3">
      <c r="A16" s="55">
        <v>46087</v>
      </c>
      <c r="B16" s="61" t="s">
        <v>432</v>
      </c>
      <c r="C16" s="57" t="s">
        <v>43</v>
      </c>
      <c r="D16" s="62">
        <v>12</v>
      </c>
      <c r="E16" s="60">
        <v>150000000</v>
      </c>
      <c r="F16" s="60">
        <f t="shared" si="0"/>
        <v>1800000000</v>
      </c>
      <c r="G16" s="61" t="s">
        <v>347</v>
      </c>
      <c r="H16" s="61" t="s">
        <v>433</v>
      </c>
      <c r="I16" s="62" t="s">
        <v>27</v>
      </c>
      <c r="J16" s="62" t="s">
        <v>116</v>
      </c>
      <c r="K16" s="63">
        <v>0.25</v>
      </c>
      <c r="L16" s="61"/>
      <c r="M16" s="55">
        <v>46091</v>
      </c>
      <c r="N16" s="61"/>
      <c r="O16" s="61"/>
      <c r="P16" s="6" t="s">
        <v>434</v>
      </c>
      <c r="Q16" s="6" t="s">
        <v>435</v>
      </c>
      <c r="R16" s="6" t="str">
        <f t="shared" ca="1" si="1"/>
        <v/>
      </c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1:35" ht="15.75" customHeight="1" x14ac:dyDescent="0.3">
      <c r="A17" s="55">
        <v>46087</v>
      </c>
      <c r="B17" s="61" t="s">
        <v>436</v>
      </c>
      <c r="C17" s="57" t="s">
        <v>43</v>
      </c>
      <c r="D17" s="62">
        <v>12</v>
      </c>
      <c r="E17" s="60">
        <v>234000000</v>
      </c>
      <c r="F17" s="60">
        <f>E17*D17</f>
        <v>2808000000</v>
      </c>
      <c r="G17" s="61" t="s">
        <v>26</v>
      </c>
      <c r="H17" s="61" t="s">
        <v>437</v>
      </c>
      <c r="I17" s="62" t="s">
        <v>27</v>
      </c>
      <c r="J17" s="62" t="s">
        <v>182</v>
      </c>
      <c r="K17" s="63">
        <v>0.25</v>
      </c>
      <c r="L17" s="61"/>
      <c r="M17" s="55">
        <v>46091</v>
      </c>
      <c r="N17" s="61"/>
      <c r="O17" s="61"/>
      <c r="P17" s="6" t="s">
        <v>438</v>
      </c>
      <c r="Q17" s="6"/>
      <c r="R17" s="6" t="str">
        <f t="shared" ca="1" si="1"/>
        <v/>
      </c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.75" customHeight="1" x14ac:dyDescent="0.3">
      <c r="A18" s="55">
        <v>46091</v>
      </c>
      <c r="B18" s="61" t="s">
        <v>439</v>
      </c>
      <c r="C18" s="57" t="s">
        <v>43</v>
      </c>
      <c r="D18" s="62"/>
      <c r="E18" s="60"/>
      <c r="F18" s="60"/>
      <c r="G18" s="61" t="s">
        <v>385</v>
      </c>
      <c r="H18" s="61" t="s">
        <v>440</v>
      </c>
      <c r="I18" s="62" t="s">
        <v>115</v>
      </c>
      <c r="J18" s="62" t="s">
        <v>182</v>
      </c>
      <c r="K18" s="63"/>
      <c r="L18" s="61"/>
      <c r="M18" s="55">
        <v>46097</v>
      </c>
      <c r="N18" s="61"/>
      <c r="O18" s="61"/>
      <c r="P18" s="6"/>
      <c r="Q18" s="6" t="s">
        <v>441</v>
      </c>
      <c r="R18" s="6" t="str">
        <f t="shared" ca="1" si="1"/>
        <v/>
      </c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5.75" customHeight="1" x14ac:dyDescent="0.3">
      <c r="A19" s="55"/>
      <c r="B19" s="61"/>
      <c r="C19" s="61"/>
      <c r="D19" s="62"/>
      <c r="E19" s="60"/>
      <c r="F19" s="60"/>
      <c r="G19" s="61"/>
      <c r="H19" s="61"/>
      <c r="I19" s="62"/>
      <c r="J19" s="62"/>
      <c r="K19" s="63"/>
      <c r="L19" s="61"/>
      <c r="M19" s="55"/>
      <c r="N19" s="61"/>
      <c r="O19" s="61"/>
      <c r="P19" s="6"/>
      <c r="Q19" s="6"/>
      <c r="R19" s="6" t="str">
        <f t="shared" ca="1" si="1"/>
        <v/>
      </c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1:35" ht="15.75" customHeight="1" x14ac:dyDescent="0.3">
      <c r="A20" s="55"/>
      <c r="B20" s="61"/>
      <c r="C20" s="61"/>
      <c r="D20" s="62"/>
      <c r="E20" s="60"/>
      <c r="F20" s="60"/>
      <c r="G20" s="61"/>
      <c r="H20" s="61"/>
      <c r="I20" s="62"/>
      <c r="J20" s="62"/>
      <c r="K20" s="63"/>
      <c r="L20" s="61"/>
      <c r="M20" s="55"/>
      <c r="N20" s="61"/>
      <c r="O20" s="61"/>
      <c r="P20" s="6"/>
      <c r="Q20" s="6"/>
      <c r="R20" s="6" t="str">
        <f t="shared" ca="1" si="1"/>
        <v/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5.75" customHeight="1" x14ac:dyDescent="0.3">
      <c r="A21" s="55"/>
      <c r="B21" s="61"/>
      <c r="C21" s="61"/>
      <c r="D21" s="62"/>
      <c r="E21" s="60"/>
      <c r="F21" s="60"/>
      <c r="G21" s="61"/>
      <c r="H21" s="61"/>
      <c r="I21" s="62"/>
      <c r="J21" s="62"/>
      <c r="K21" s="63"/>
      <c r="L21" s="61"/>
      <c r="M21" s="55"/>
      <c r="N21" s="61"/>
      <c r="O21" s="61"/>
      <c r="P21" s="6"/>
      <c r="Q21" s="6"/>
      <c r="R21" s="6" t="str">
        <f t="shared" ca="1" si="1"/>
        <v/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5.75" customHeight="1" x14ac:dyDescent="0.3">
      <c r="A22" s="55"/>
      <c r="B22" s="61"/>
      <c r="C22" s="61"/>
      <c r="D22" s="62"/>
      <c r="E22" s="60"/>
      <c r="F22" s="60"/>
      <c r="G22" s="61"/>
      <c r="H22" s="61"/>
      <c r="I22" s="62"/>
      <c r="J22" s="62"/>
      <c r="K22" s="63"/>
      <c r="L22" s="61"/>
      <c r="M22" s="55"/>
      <c r="N22" s="61"/>
      <c r="O22" s="61"/>
      <c r="P22" s="6"/>
      <c r="Q22" s="6"/>
      <c r="R22" s="6" t="str">
        <f t="shared" ca="1" si="1"/>
        <v/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.75" customHeight="1" x14ac:dyDescent="0.3">
      <c r="A23" s="55"/>
      <c r="B23" s="61"/>
      <c r="C23" s="61"/>
      <c r="D23" s="62"/>
      <c r="E23" s="60"/>
      <c r="F23" s="60"/>
      <c r="G23" s="61"/>
      <c r="H23" s="61"/>
      <c r="I23" s="62"/>
      <c r="J23" s="62"/>
      <c r="K23" s="63"/>
      <c r="L23" s="61"/>
      <c r="M23" s="55"/>
      <c r="N23" s="61"/>
      <c r="O23" s="61"/>
      <c r="P23" s="6"/>
      <c r="Q23" s="6"/>
      <c r="R23" s="6" t="str">
        <f t="shared" ca="1" si="1"/>
        <v/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15.75" customHeight="1" x14ac:dyDescent="0.3">
      <c r="A24" s="55"/>
      <c r="B24" s="61"/>
      <c r="C24" s="61"/>
      <c r="D24" s="62"/>
      <c r="E24" s="60"/>
      <c r="F24" s="60"/>
      <c r="G24" s="61"/>
      <c r="H24" s="61"/>
      <c r="I24" s="62"/>
      <c r="J24" s="62"/>
      <c r="K24" s="63"/>
      <c r="L24" s="61"/>
      <c r="M24" s="55"/>
      <c r="N24" s="61"/>
      <c r="O24" s="61"/>
      <c r="P24" s="6"/>
      <c r="Q24" s="6"/>
      <c r="R24" s="6" t="str">
        <f t="shared" ca="1" si="1"/>
        <v/>
      </c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5.75" customHeight="1" x14ac:dyDescent="0.3">
      <c r="A25" s="55"/>
      <c r="B25" s="61"/>
      <c r="C25" s="61"/>
      <c r="D25" s="62"/>
      <c r="E25" s="60"/>
      <c r="F25" s="60"/>
      <c r="G25" s="61"/>
      <c r="H25" s="61"/>
      <c r="I25" s="62"/>
      <c r="J25" s="62"/>
      <c r="K25" s="63"/>
      <c r="L25" s="61"/>
      <c r="M25" s="55"/>
      <c r="N25" s="61"/>
      <c r="O25" s="61"/>
      <c r="P25" s="6"/>
      <c r="Q25" s="6"/>
      <c r="R25" s="6" t="str">
        <f t="shared" ca="1" si="1"/>
        <v/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spans="1:35" ht="15.75" customHeight="1" x14ac:dyDescent="0.3">
      <c r="A26" s="55"/>
      <c r="B26" s="61"/>
      <c r="C26" s="61"/>
      <c r="D26" s="62"/>
      <c r="E26" s="60"/>
      <c r="F26" s="60"/>
      <c r="G26" s="61"/>
      <c r="H26" s="61"/>
      <c r="I26" s="62"/>
      <c r="J26" s="62"/>
      <c r="K26" s="63"/>
      <c r="L26" s="61"/>
      <c r="M26" s="55"/>
      <c r="N26" s="61"/>
      <c r="O26" s="61"/>
      <c r="P26" s="6"/>
      <c r="Q26" s="6"/>
      <c r="R26" s="6" t="str">
        <f t="shared" ca="1" si="1"/>
        <v/>
      </c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spans="1:35" ht="15.75" customHeight="1" x14ac:dyDescent="0.3">
      <c r="A27" s="55"/>
      <c r="B27" s="61"/>
      <c r="C27" s="61"/>
      <c r="D27" s="62"/>
      <c r="E27" s="60"/>
      <c r="F27" s="60"/>
      <c r="G27" s="61"/>
      <c r="H27" s="61"/>
      <c r="I27" s="62"/>
      <c r="J27" s="62"/>
      <c r="K27" s="63"/>
      <c r="L27" s="61"/>
      <c r="M27" s="55"/>
      <c r="N27" s="61"/>
      <c r="O27" s="61"/>
      <c r="P27" s="6"/>
      <c r="Q27" s="6"/>
      <c r="R27" s="6" t="str">
        <f t="shared" ca="1" si="1"/>
        <v/>
      </c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5.75" customHeight="1" x14ac:dyDescent="0.3">
      <c r="A28" s="55"/>
      <c r="B28" s="61"/>
      <c r="C28" s="61"/>
      <c r="D28" s="62"/>
      <c r="E28" s="60"/>
      <c r="F28" s="60"/>
      <c r="G28" s="61"/>
      <c r="H28" s="61"/>
      <c r="I28" s="62"/>
      <c r="J28" s="62"/>
      <c r="K28" s="63"/>
      <c r="L28" s="61"/>
      <c r="M28" s="55"/>
      <c r="N28" s="61"/>
      <c r="O28" s="61"/>
      <c r="P28" s="6"/>
      <c r="Q28" s="6"/>
      <c r="R28" s="6" t="str">
        <f t="shared" ca="1" si="1"/>
        <v/>
      </c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5.75" customHeight="1" x14ac:dyDescent="0.3">
      <c r="A29" s="55"/>
      <c r="B29" s="61"/>
      <c r="C29" s="61"/>
      <c r="D29" s="62"/>
      <c r="E29" s="60"/>
      <c r="F29" s="60"/>
      <c r="G29" s="61"/>
      <c r="H29" s="61"/>
      <c r="I29" s="62"/>
      <c r="J29" s="62"/>
      <c r="K29" s="63"/>
      <c r="L29" s="61"/>
      <c r="M29" s="55"/>
      <c r="N29" s="61"/>
      <c r="O29" s="61"/>
      <c r="P29" s="6"/>
      <c r="Q29" s="6"/>
      <c r="R29" s="6" t="str">
        <f t="shared" ca="1" si="1"/>
        <v/>
      </c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spans="1:35" ht="15.75" customHeight="1" x14ac:dyDescent="0.3">
      <c r="A30" s="55"/>
      <c r="B30" s="61"/>
      <c r="C30" s="61"/>
      <c r="D30" s="62"/>
      <c r="E30" s="60"/>
      <c r="F30" s="60"/>
      <c r="G30" s="61"/>
      <c r="H30" s="61"/>
      <c r="I30" s="62"/>
      <c r="J30" s="62"/>
      <c r="K30" s="63"/>
      <c r="L30" s="61"/>
      <c r="M30" s="55"/>
      <c r="N30" s="61"/>
      <c r="O30" s="61"/>
      <c r="P30" s="6"/>
      <c r="Q30" s="6"/>
      <c r="R30" s="6" t="str">
        <f t="shared" ca="1" si="1"/>
        <v/>
      </c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spans="1:35" ht="15.75" customHeight="1" x14ac:dyDescent="0.3">
      <c r="A31" s="55"/>
      <c r="B31" s="61"/>
      <c r="C31" s="61"/>
      <c r="D31" s="62"/>
      <c r="E31" s="60"/>
      <c r="F31" s="60"/>
      <c r="G31" s="61"/>
      <c r="H31" s="61"/>
      <c r="I31" s="62"/>
      <c r="J31" s="62"/>
      <c r="K31" s="63"/>
      <c r="L31" s="61"/>
      <c r="M31" s="55"/>
      <c r="N31" s="61"/>
      <c r="O31" s="61"/>
      <c r="P31" s="6"/>
      <c r="Q31" s="6"/>
      <c r="R31" s="6" t="str">
        <f t="shared" ca="1" si="1"/>
        <v/>
      </c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1:35" ht="15.75" customHeight="1" x14ac:dyDescent="0.3">
      <c r="A32" s="55"/>
      <c r="B32" s="61"/>
      <c r="C32" s="61"/>
      <c r="D32" s="62"/>
      <c r="E32" s="60"/>
      <c r="F32" s="60"/>
      <c r="G32" s="61"/>
      <c r="H32" s="61"/>
      <c r="I32" s="62"/>
      <c r="J32" s="62"/>
      <c r="K32" s="63"/>
      <c r="L32" s="61"/>
      <c r="M32" s="55"/>
      <c r="N32" s="61"/>
      <c r="O32" s="61"/>
      <c r="P32" s="6"/>
      <c r="Q32" s="6"/>
      <c r="R32" s="6" t="str">
        <f t="shared" ca="1" si="1"/>
        <v/>
      </c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1:35" ht="15.75" customHeight="1" x14ac:dyDescent="0.3">
      <c r="A33" s="55"/>
      <c r="B33" s="61"/>
      <c r="C33" s="61"/>
      <c r="D33" s="62"/>
      <c r="E33" s="60"/>
      <c r="F33" s="60"/>
      <c r="G33" s="61"/>
      <c r="H33" s="61"/>
      <c r="I33" s="62"/>
      <c r="J33" s="62"/>
      <c r="K33" s="63"/>
      <c r="L33" s="61"/>
      <c r="M33" s="55"/>
      <c r="N33" s="61"/>
      <c r="O33" s="61"/>
      <c r="P33" s="6"/>
      <c r="Q33" s="6"/>
      <c r="R33" s="6" t="str">
        <f t="shared" ca="1" si="1"/>
        <v/>
      </c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spans="1:35" ht="15.75" customHeight="1" x14ac:dyDescent="0.3">
      <c r="A34" s="55"/>
      <c r="B34" s="61"/>
      <c r="C34" s="61"/>
      <c r="D34" s="62"/>
      <c r="E34" s="60"/>
      <c r="F34" s="60"/>
      <c r="G34" s="61"/>
      <c r="H34" s="61"/>
      <c r="I34" s="62"/>
      <c r="J34" s="62"/>
      <c r="K34" s="63"/>
      <c r="L34" s="61"/>
      <c r="M34" s="55"/>
      <c r="N34" s="61"/>
      <c r="O34" s="61"/>
      <c r="P34" s="6"/>
      <c r="Q34" s="6"/>
      <c r="R34" s="6" t="str">
        <f t="shared" ca="1" si="1"/>
        <v/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spans="1:35" ht="15.75" customHeight="1" x14ac:dyDescent="0.3">
      <c r="A35" s="55"/>
      <c r="B35" s="61"/>
      <c r="C35" s="61"/>
      <c r="D35" s="62"/>
      <c r="E35" s="60"/>
      <c r="F35" s="60"/>
      <c r="G35" s="61"/>
      <c r="H35" s="61"/>
      <c r="I35" s="62"/>
      <c r="J35" s="62"/>
      <c r="K35" s="63"/>
      <c r="L35" s="61"/>
      <c r="M35" s="55"/>
      <c r="N35" s="61"/>
      <c r="O35" s="61"/>
      <c r="P35" s="6"/>
      <c r="Q35" s="6"/>
      <c r="R35" s="6" t="str">
        <f t="shared" ca="1" si="1"/>
        <v/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spans="1:35" ht="15.75" customHeight="1" x14ac:dyDescent="0.3">
      <c r="A36" s="55"/>
      <c r="B36" s="61"/>
      <c r="C36" s="61"/>
      <c r="D36" s="62"/>
      <c r="E36" s="60"/>
      <c r="F36" s="60"/>
      <c r="G36" s="61"/>
      <c r="H36" s="61"/>
      <c r="I36" s="62"/>
      <c r="J36" s="62"/>
      <c r="K36" s="63"/>
      <c r="L36" s="61"/>
      <c r="M36" s="55"/>
      <c r="N36" s="61"/>
      <c r="O36" s="61"/>
      <c r="P36" s="6"/>
      <c r="Q36" s="6"/>
      <c r="R36" s="6" t="str">
        <f t="shared" ca="1" si="1"/>
        <v/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spans="1:35" ht="15.75" customHeight="1" x14ac:dyDescent="0.3">
      <c r="A37" s="55"/>
      <c r="B37" s="61"/>
      <c r="C37" s="61"/>
      <c r="D37" s="62"/>
      <c r="E37" s="60"/>
      <c r="F37" s="60"/>
      <c r="G37" s="61"/>
      <c r="H37" s="61"/>
      <c r="I37" s="62"/>
      <c r="J37" s="62"/>
      <c r="K37" s="63"/>
      <c r="L37" s="61"/>
      <c r="M37" s="55"/>
      <c r="N37" s="61"/>
      <c r="O37" s="61"/>
      <c r="P37" s="6"/>
      <c r="Q37" s="6"/>
      <c r="R37" s="6" t="str">
        <f t="shared" ca="1" si="1"/>
        <v/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spans="1:35" ht="15.75" customHeight="1" x14ac:dyDescent="0.3">
      <c r="A38" s="55"/>
      <c r="B38" s="61"/>
      <c r="C38" s="61"/>
      <c r="D38" s="62"/>
      <c r="E38" s="60"/>
      <c r="F38" s="60"/>
      <c r="G38" s="61"/>
      <c r="H38" s="61"/>
      <c r="I38" s="62"/>
      <c r="J38" s="62"/>
      <c r="K38" s="63"/>
      <c r="L38" s="61"/>
      <c r="M38" s="55"/>
      <c r="N38" s="61"/>
      <c r="O38" s="61"/>
      <c r="P38" s="6"/>
      <c r="Q38" s="6"/>
      <c r="R38" s="6" t="str">
        <f t="shared" ca="1" si="1"/>
        <v/>
      </c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spans="1:35" ht="15.75" customHeight="1" x14ac:dyDescent="0.3">
      <c r="A39" s="55"/>
      <c r="B39" s="61"/>
      <c r="C39" s="61"/>
      <c r="D39" s="62"/>
      <c r="E39" s="60"/>
      <c r="F39" s="60"/>
      <c r="G39" s="61"/>
      <c r="H39" s="61"/>
      <c r="I39" s="62"/>
      <c r="J39" s="62"/>
      <c r="K39" s="63"/>
      <c r="L39" s="61"/>
      <c r="M39" s="55"/>
      <c r="N39" s="61"/>
      <c r="O39" s="61"/>
      <c r="P39" s="6"/>
      <c r="Q39" s="6"/>
      <c r="R39" s="6" t="str">
        <f t="shared" ca="1" si="1"/>
        <v/>
      </c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1:35" ht="15.75" customHeight="1" x14ac:dyDescent="0.3">
      <c r="A40" s="55"/>
      <c r="B40" s="61"/>
      <c r="C40" s="61"/>
      <c r="D40" s="62"/>
      <c r="E40" s="60"/>
      <c r="F40" s="60"/>
      <c r="G40" s="61"/>
      <c r="H40" s="61"/>
      <c r="I40" s="62"/>
      <c r="J40" s="62"/>
      <c r="K40" s="63"/>
      <c r="L40" s="61"/>
      <c r="M40" s="55"/>
      <c r="N40" s="61"/>
      <c r="O40" s="61"/>
      <c r="P40" s="6"/>
      <c r="Q40" s="6"/>
      <c r="R40" s="6" t="str">
        <f t="shared" ca="1" si="1"/>
        <v/>
      </c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1:35" ht="15.75" customHeight="1" x14ac:dyDescent="0.3">
      <c r="A41" s="55"/>
      <c r="B41" s="61"/>
      <c r="C41" s="61"/>
      <c r="D41" s="62"/>
      <c r="E41" s="60"/>
      <c r="F41" s="60"/>
      <c r="G41" s="61"/>
      <c r="H41" s="61"/>
      <c r="I41" s="62"/>
      <c r="J41" s="62"/>
      <c r="K41" s="63"/>
      <c r="L41" s="61"/>
      <c r="M41" s="55"/>
      <c r="N41" s="61"/>
      <c r="O41" s="61"/>
      <c r="P41" s="6"/>
      <c r="Q41" s="6"/>
      <c r="R41" s="6" t="str">
        <f t="shared" ca="1" si="1"/>
        <v/>
      </c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1:35" ht="15.75" customHeight="1" x14ac:dyDescent="0.3">
      <c r="A42" s="55"/>
      <c r="B42" s="61"/>
      <c r="C42" s="61"/>
      <c r="D42" s="62"/>
      <c r="E42" s="60"/>
      <c r="F42" s="60"/>
      <c r="G42" s="61"/>
      <c r="H42" s="61"/>
      <c r="I42" s="62"/>
      <c r="J42" s="62"/>
      <c r="K42" s="63"/>
      <c r="L42" s="61"/>
      <c r="M42" s="55"/>
      <c r="N42" s="61"/>
      <c r="O42" s="61"/>
      <c r="P42" s="6"/>
      <c r="Q42" s="6"/>
      <c r="R42" s="6" t="str">
        <f t="shared" ca="1" si="1"/>
        <v/>
      </c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spans="1:35" ht="15.75" customHeight="1" x14ac:dyDescent="0.3">
      <c r="A43" s="55"/>
      <c r="B43" s="61"/>
      <c r="C43" s="61"/>
      <c r="D43" s="62"/>
      <c r="E43" s="60"/>
      <c r="F43" s="60"/>
      <c r="G43" s="61"/>
      <c r="H43" s="61"/>
      <c r="I43" s="62"/>
      <c r="J43" s="62"/>
      <c r="K43" s="63"/>
      <c r="L43" s="61"/>
      <c r="M43" s="55"/>
      <c r="N43" s="61"/>
      <c r="O43" s="61"/>
      <c r="P43" s="6"/>
      <c r="Q43" s="6"/>
      <c r="R43" s="6" t="str">
        <f t="shared" ca="1" si="1"/>
        <v/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spans="1:35" ht="15.75" customHeight="1" x14ac:dyDescent="0.3">
      <c r="A44" s="55"/>
      <c r="B44" s="61"/>
      <c r="C44" s="61"/>
      <c r="D44" s="62"/>
      <c r="E44" s="60"/>
      <c r="F44" s="60"/>
      <c r="G44" s="61"/>
      <c r="H44" s="61"/>
      <c r="I44" s="62"/>
      <c r="J44" s="62"/>
      <c r="K44" s="63"/>
      <c r="L44" s="61"/>
      <c r="M44" s="55"/>
      <c r="N44" s="61"/>
      <c r="O44" s="61"/>
      <c r="P44" s="6"/>
      <c r="Q44" s="6"/>
      <c r="R44" s="6" t="str">
        <f t="shared" ca="1" si="1"/>
        <v/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spans="1:35" ht="15.75" customHeight="1" x14ac:dyDescent="0.3">
      <c r="A45" s="55"/>
      <c r="B45" s="61"/>
      <c r="C45" s="61"/>
      <c r="D45" s="62"/>
      <c r="E45" s="60"/>
      <c r="F45" s="60"/>
      <c r="G45" s="61"/>
      <c r="H45" s="61"/>
      <c r="I45" s="62"/>
      <c r="J45" s="62"/>
      <c r="K45" s="63"/>
      <c r="L45" s="61"/>
      <c r="M45" s="55"/>
      <c r="N45" s="61"/>
      <c r="O45" s="61"/>
      <c r="P45" s="6"/>
      <c r="Q45" s="6"/>
      <c r="R45" s="6" t="str">
        <f t="shared" ca="1" si="1"/>
        <v/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spans="1:35" ht="15.75" customHeight="1" x14ac:dyDescent="0.3">
      <c r="A46" s="55"/>
      <c r="B46" s="61"/>
      <c r="C46" s="61"/>
      <c r="D46" s="62"/>
      <c r="E46" s="60"/>
      <c r="F46" s="60"/>
      <c r="G46" s="61"/>
      <c r="H46" s="61"/>
      <c r="I46" s="62"/>
      <c r="J46" s="62"/>
      <c r="K46" s="63"/>
      <c r="L46" s="61"/>
      <c r="M46" s="55"/>
      <c r="N46" s="61"/>
      <c r="O46" s="61"/>
      <c r="P46" s="6"/>
      <c r="Q46" s="6"/>
      <c r="R46" s="6" t="str">
        <f t="shared" ca="1" si="1"/>
        <v/>
      </c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spans="1:35" ht="15.75" customHeight="1" x14ac:dyDescent="0.3">
      <c r="A47" s="55"/>
      <c r="B47" s="61"/>
      <c r="C47" s="61"/>
      <c r="D47" s="62"/>
      <c r="E47" s="60"/>
      <c r="F47" s="60"/>
      <c r="G47" s="61"/>
      <c r="H47" s="61"/>
      <c r="I47" s="62"/>
      <c r="J47" s="62"/>
      <c r="K47" s="63"/>
      <c r="L47" s="61"/>
      <c r="M47" s="55"/>
      <c r="N47" s="61"/>
      <c r="O47" s="61"/>
      <c r="P47" s="6"/>
      <c r="Q47" s="6"/>
      <c r="R47" s="6" t="str">
        <f t="shared" ca="1" si="1"/>
        <v/>
      </c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spans="1:35" ht="15.75" customHeight="1" x14ac:dyDescent="0.3">
      <c r="A48" s="55"/>
      <c r="B48" s="61"/>
      <c r="C48" s="61"/>
      <c r="D48" s="62"/>
      <c r="E48" s="60"/>
      <c r="F48" s="60"/>
      <c r="G48" s="61"/>
      <c r="H48" s="61"/>
      <c r="I48" s="62"/>
      <c r="J48" s="62"/>
      <c r="K48" s="63"/>
      <c r="L48" s="61"/>
      <c r="M48" s="55"/>
      <c r="N48" s="61"/>
      <c r="O48" s="61"/>
      <c r="P48" s="6"/>
      <c r="Q48" s="6"/>
      <c r="R48" s="6" t="str">
        <f t="shared" ca="1" si="1"/>
        <v/>
      </c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5.75" customHeight="1" x14ac:dyDescent="0.3">
      <c r="A49" s="55"/>
      <c r="B49" s="61"/>
      <c r="C49" s="61"/>
      <c r="D49" s="62"/>
      <c r="E49" s="60"/>
      <c r="F49" s="60"/>
      <c r="G49" s="61"/>
      <c r="H49" s="61"/>
      <c r="I49" s="62"/>
      <c r="J49" s="62"/>
      <c r="K49" s="63"/>
      <c r="L49" s="61"/>
      <c r="M49" s="55"/>
      <c r="N49" s="61"/>
      <c r="O49" s="61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spans="1:35" ht="15.75" customHeight="1" x14ac:dyDescent="0.3">
      <c r="A50" s="55"/>
      <c r="B50" s="61"/>
      <c r="C50" s="61"/>
      <c r="D50" s="62"/>
      <c r="E50" s="60"/>
      <c r="F50" s="60"/>
      <c r="G50" s="61"/>
      <c r="H50" s="61"/>
      <c r="I50" s="62"/>
      <c r="J50" s="62"/>
      <c r="K50" s="63"/>
      <c r="L50" s="61"/>
      <c r="M50" s="55"/>
      <c r="N50" s="61"/>
      <c r="O50" s="61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spans="1:35" ht="15.75" customHeight="1" x14ac:dyDescent="0.3">
      <c r="A51" s="55"/>
      <c r="B51" s="61"/>
      <c r="C51" s="61"/>
      <c r="D51" s="62"/>
      <c r="E51" s="60"/>
      <c r="F51" s="60"/>
      <c r="G51" s="61"/>
      <c r="H51" s="61"/>
      <c r="I51" s="62"/>
      <c r="J51" s="62"/>
      <c r="K51" s="63"/>
      <c r="L51" s="61"/>
      <c r="M51" s="55"/>
      <c r="N51" s="61"/>
      <c r="O51" s="61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spans="1:35" ht="15.75" customHeight="1" x14ac:dyDescent="0.3">
      <c r="A52" s="55"/>
      <c r="B52" s="61"/>
      <c r="C52" s="61"/>
      <c r="D52" s="62"/>
      <c r="E52" s="60"/>
      <c r="F52" s="60"/>
      <c r="G52" s="61"/>
      <c r="H52" s="61"/>
      <c r="I52" s="62"/>
      <c r="J52" s="62"/>
      <c r="K52" s="63"/>
      <c r="L52" s="61"/>
      <c r="M52" s="55"/>
      <c r="N52" s="61"/>
      <c r="O52" s="61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spans="1:35" ht="15.75" customHeight="1" x14ac:dyDescent="0.3">
      <c r="A53" s="55"/>
      <c r="B53" s="61"/>
      <c r="C53" s="61"/>
      <c r="D53" s="62"/>
      <c r="E53" s="60"/>
      <c r="F53" s="60"/>
      <c r="G53" s="61"/>
      <c r="H53" s="61"/>
      <c r="I53" s="62"/>
      <c r="J53" s="62"/>
      <c r="K53" s="63"/>
      <c r="L53" s="61"/>
      <c r="M53" s="55"/>
      <c r="N53" s="61"/>
      <c r="O53" s="61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spans="1:35" ht="15.75" customHeight="1" x14ac:dyDescent="0.3">
      <c r="A54" s="55"/>
      <c r="B54" s="61"/>
      <c r="C54" s="61"/>
      <c r="D54" s="62"/>
      <c r="E54" s="60"/>
      <c r="F54" s="60"/>
      <c r="G54" s="61"/>
      <c r="H54" s="61"/>
      <c r="I54" s="62"/>
      <c r="J54" s="62"/>
      <c r="K54" s="63"/>
      <c r="L54" s="61"/>
      <c r="M54" s="55"/>
      <c r="N54" s="61"/>
      <c r="O54" s="61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spans="1:35" ht="15.75" customHeight="1" x14ac:dyDescent="0.3">
      <c r="A55" s="55"/>
      <c r="B55" s="61"/>
      <c r="C55" s="61"/>
      <c r="D55" s="62"/>
      <c r="E55" s="60"/>
      <c r="F55" s="60"/>
      <c r="G55" s="61"/>
      <c r="H55" s="61"/>
      <c r="I55" s="62"/>
      <c r="J55" s="62"/>
      <c r="K55" s="63"/>
      <c r="L55" s="61"/>
      <c r="M55" s="55"/>
      <c r="N55" s="61"/>
      <c r="O55" s="61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spans="1:35" ht="15.75" customHeight="1" x14ac:dyDescent="0.3">
      <c r="A56" s="55"/>
      <c r="B56" s="61"/>
      <c r="C56" s="61"/>
      <c r="D56" s="62"/>
      <c r="E56" s="60"/>
      <c r="F56" s="60"/>
      <c r="G56" s="61"/>
      <c r="H56" s="61"/>
      <c r="I56" s="62"/>
      <c r="J56" s="62"/>
      <c r="K56" s="63"/>
      <c r="L56" s="61"/>
      <c r="M56" s="55"/>
      <c r="N56" s="61"/>
      <c r="O56" s="61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spans="1:35" ht="15.75" customHeight="1" x14ac:dyDescent="0.3">
      <c r="A57" s="55"/>
      <c r="B57" s="61"/>
      <c r="C57" s="61"/>
      <c r="D57" s="62"/>
      <c r="E57" s="60"/>
      <c r="F57" s="60"/>
      <c r="G57" s="61"/>
      <c r="H57" s="61"/>
      <c r="I57" s="62"/>
      <c r="J57" s="62"/>
      <c r="K57" s="63"/>
      <c r="L57" s="61"/>
      <c r="M57" s="55"/>
      <c r="N57" s="61"/>
      <c r="O57" s="61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spans="1:35" ht="15.75" customHeight="1" x14ac:dyDescent="0.3">
      <c r="A58" s="55"/>
      <c r="B58" s="61"/>
      <c r="C58" s="61"/>
      <c r="D58" s="62"/>
      <c r="E58" s="60"/>
      <c r="F58" s="60"/>
      <c r="G58" s="61"/>
      <c r="H58" s="61"/>
      <c r="I58" s="62"/>
      <c r="J58" s="62"/>
      <c r="K58" s="63"/>
      <c r="L58" s="61"/>
      <c r="M58" s="55"/>
      <c r="N58" s="61"/>
      <c r="O58" s="61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spans="1:35" ht="15.75" customHeight="1" x14ac:dyDescent="0.3">
      <c r="A59" s="55"/>
      <c r="B59" s="61"/>
      <c r="C59" s="61"/>
      <c r="D59" s="62"/>
      <c r="E59" s="60"/>
      <c r="F59" s="60"/>
      <c r="G59" s="61"/>
      <c r="H59" s="61"/>
      <c r="I59" s="62"/>
      <c r="J59" s="62"/>
      <c r="K59" s="63"/>
      <c r="L59" s="61"/>
      <c r="M59" s="55"/>
      <c r="N59" s="61"/>
      <c r="O59" s="61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spans="1:35" ht="15.75" customHeight="1" x14ac:dyDescent="0.3">
      <c r="A60" s="55"/>
      <c r="B60" s="61"/>
      <c r="C60" s="61"/>
      <c r="D60" s="62"/>
      <c r="E60" s="60"/>
      <c r="F60" s="60"/>
      <c r="G60" s="61"/>
      <c r="H60" s="61"/>
      <c r="I60" s="62"/>
      <c r="J60" s="62"/>
      <c r="K60" s="63"/>
      <c r="L60" s="61"/>
      <c r="M60" s="55"/>
      <c r="N60" s="61"/>
      <c r="O60" s="61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spans="1:35" ht="15.75" customHeight="1" x14ac:dyDescent="0.3">
      <c r="A61" s="55"/>
      <c r="B61" s="61"/>
      <c r="C61" s="61"/>
      <c r="D61" s="62"/>
      <c r="E61" s="60"/>
      <c r="F61" s="60"/>
      <c r="G61" s="61"/>
      <c r="H61" s="61"/>
      <c r="I61" s="62"/>
      <c r="J61" s="62"/>
      <c r="K61" s="63"/>
      <c r="L61" s="61"/>
      <c r="M61" s="55"/>
      <c r="N61" s="61"/>
      <c r="O61" s="61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spans="1:35" ht="15.75" customHeight="1" x14ac:dyDescent="0.3">
      <c r="A62" s="55"/>
      <c r="B62" s="61"/>
      <c r="C62" s="61"/>
      <c r="D62" s="62"/>
      <c r="E62" s="60"/>
      <c r="F62" s="60"/>
      <c r="G62" s="61"/>
      <c r="H62" s="61"/>
      <c r="I62" s="62"/>
      <c r="J62" s="62"/>
      <c r="K62" s="63"/>
      <c r="L62" s="61"/>
      <c r="M62" s="55"/>
      <c r="N62" s="61"/>
      <c r="O62" s="61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spans="1:35" ht="15.75" customHeight="1" x14ac:dyDescent="0.3">
      <c r="A63" s="55"/>
      <c r="B63" s="61"/>
      <c r="C63" s="61"/>
      <c r="D63" s="62"/>
      <c r="E63" s="60"/>
      <c r="F63" s="60"/>
      <c r="G63" s="61"/>
      <c r="H63" s="61"/>
      <c r="I63" s="62"/>
      <c r="J63" s="62"/>
      <c r="K63" s="63"/>
      <c r="L63" s="61"/>
      <c r="M63" s="55"/>
      <c r="N63" s="61"/>
      <c r="O63" s="61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spans="1:35" ht="15.75" customHeight="1" x14ac:dyDescent="0.3">
      <c r="A64" s="55"/>
      <c r="B64" s="61"/>
      <c r="C64" s="61"/>
      <c r="D64" s="62"/>
      <c r="E64" s="60"/>
      <c r="F64" s="60"/>
      <c r="G64" s="61"/>
      <c r="H64" s="61"/>
      <c r="I64" s="62"/>
      <c r="J64" s="62"/>
      <c r="K64" s="63"/>
      <c r="L64" s="61"/>
      <c r="M64" s="55"/>
      <c r="N64" s="61"/>
      <c r="O64" s="61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1:35" ht="15.75" customHeight="1" x14ac:dyDescent="0.3">
      <c r="A65" s="55"/>
      <c r="B65" s="61"/>
      <c r="C65" s="61"/>
      <c r="D65" s="62"/>
      <c r="E65" s="60"/>
      <c r="F65" s="60"/>
      <c r="G65" s="61"/>
      <c r="H65" s="61"/>
      <c r="I65" s="62"/>
      <c r="J65" s="62"/>
      <c r="K65" s="63"/>
      <c r="L65" s="61"/>
      <c r="M65" s="55"/>
      <c r="N65" s="61"/>
      <c r="O65" s="61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1:35" ht="15.75" customHeight="1" x14ac:dyDescent="0.3">
      <c r="A66" s="55"/>
      <c r="B66" s="61"/>
      <c r="C66" s="61"/>
      <c r="D66" s="62"/>
      <c r="E66" s="60"/>
      <c r="F66" s="60"/>
      <c r="G66" s="61"/>
      <c r="H66" s="61"/>
      <c r="I66" s="62"/>
      <c r="J66" s="62"/>
      <c r="K66" s="63"/>
      <c r="L66" s="61"/>
      <c r="M66" s="55"/>
      <c r="N66" s="61"/>
      <c r="O66" s="61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1:35" ht="15.75" customHeight="1" x14ac:dyDescent="0.3">
      <c r="A67" s="55"/>
      <c r="B67" s="61"/>
      <c r="C67" s="61"/>
      <c r="D67" s="62"/>
      <c r="E67" s="60"/>
      <c r="F67" s="60"/>
      <c r="G67" s="61"/>
      <c r="H67" s="61"/>
      <c r="I67" s="62"/>
      <c r="J67" s="62"/>
      <c r="K67" s="63"/>
      <c r="L67" s="61"/>
      <c r="M67" s="55"/>
      <c r="N67" s="61"/>
      <c r="O67" s="61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1:35" ht="15.75" customHeight="1" x14ac:dyDescent="0.3">
      <c r="A68" s="55"/>
      <c r="B68" s="61"/>
      <c r="C68" s="61"/>
      <c r="D68" s="62"/>
      <c r="E68" s="60"/>
      <c r="F68" s="60"/>
      <c r="G68" s="61"/>
      <c r="H68" s="61"/>
      <c r="I68" s="62"/>
      <c r="J68" s="62"/>
      <c r="K68" s="63"/>
      <c r="L68" s="61"/>
      <c r="M68" s="55"/>
      <c r="N68" s="61"/>
      <c r="O68" s="61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1:35" ht="15.75" customHeight="1" x14ac:dyDescent="0.3">
      <c r="A69" s="55"/>
      <c r="B69" s="61"/>
      <c r="C69" s="61"/>
      <c r="D69" s="62"/>
      <c r="E69" s="60"/>
      <c r="F69" s="60"/>
      <c r="G69" s="61"/>
      <c r="H69" s="61"/>
      <c r="I69" s="62"/>
      <c r="J69" s="62"/>
      <c r="K69" s="63"/>
      <c r="L69" s="61"/>
      <c r="M69" s="55"/>
      <c r="N69" s="61"/>
      <c r="O69" s="61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15.75" customHeight="1" x14ac:dyDescent="0.3">
      <c r="A70" s="55"/>
      <c r="B70" s="61"/>
      <c r="C70" s="61"/>
      <c r="D70" s="62"/>
      <c r="E70" s="60"/>
      <c r="F70" s="60"/>
      <c r="G70" s="61"/>
      <c r="H70" s="61"/>
      <c r="I70" s="62"/>
      <c r="J70" s="62"/>
      <c r="K70" s="63"/>
      <c r="L70" s="61"/>
      <c r="M70" s="55"/>
      <c r="N70" s="61"/>
      <c r="O70" s="61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5.75" customHeight="1" x14ac:dyDescent="0.3">
      <c r="A71" s="55"/>
      <c r="B71" s="61"/>
      <c r="C71" s="61"/>
      <c r="D71" s="62"/>
      <c r="E71" s="60"/>
      <c r="F71" s="60"/>
      <c r="G71" s="61"/>
      <c r="H71" s="61"/>
      <c r="I71" s="62"/>
      <c r="J71" s="62"/>
      <c r="K71" s="63"/>
      <c r="L71" s="61"/>
      <c r="M71" s="55"/>
      <c r="N71" s="61"/>
      <c r="O71" s="61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5.75" customHeight="1" x14ac:dyDescent="0.3">
      <c r="A72" s="55"/>
      <c r="B72" s="61"/>
      <c r="C72" s="61"/>
      <c r="D72" s="62"/>
      <c r="E72" s="60"/>
      <c r="F72" s="60"/>
      <c r="G72" s="61"/>
      <c r="H72" s="61"/>
      <c r="I72" s="62"/>
      <c r="J72" s="62"/>
      <c r="K72" s="63"/>
      <c r="L72" s="61"/>
      <c r="M72" s="55"/>
      <c r="N72" s="61"/>
      <c r="O72" s="61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5.75" customHeight="1" x14ac:dyDescent="0.3">
      <c r="A73" s="55"/>
      <c r="B73" s="61"/>
      <c r="C73" s="61"/>
      <c r="D73" s="62"/>
      <c r="E73" s="60"/>
      <c r="F73" s="60"/>
      <c r="G73" s="61"/>
      <c r="H73" s="61"/>
      <c r="I73" s="62"/>
      <c r="J73" s="62"/>
      <c r="K73" s="63"/>
      <c r="L73" s="61"/>
      <c r="M73" s="55"/>
      <c r="N73" s="61"/>
      <c r="O73" s="61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5.75" customHeight="1" x14ac:dyDescent="0.3">
      <c r="A74" s="55"/>
      <c r="B74" s="61"/>
      <c r="C74" s="61"/>
      <c r="D74" s="62"/>
      <c r="E74" s="60"/>
      <c r="F74" s="60"/>
      <c r="G74" s="61"/>
      <c r="H74" s="61"/>
      <c r="I74" s="62"/>
      <c r="J74" s="62"/>
      <c r="K74" s="63"/>
      <c r="L74" s="61"/>
      <c r="M74" s="55"/>
      <c r="N74" s="61"/>
      <c r="O74" s="61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.75" customHeight="1" x14ac:dyDescent="0.3">
      <c r="A75" s="55"/>
      <c r="B75" s="61"/>
      <c r="C75" s="61"/>
      <c r="D75" s="62"/>
      <c r="E75" s="60"/>
      <c r="F75" s="60"/>
      <c r="G75" s="61"/>
      <c r="H75" s="61"/>
      <c r="I75" s="62"/>
      <c r="J75" s="62"/>
      <c r="K75" s="63"/>
      <c r="L75" s="61"/>
      <c r="M75" s="55"/>
      <c r="N75" s="61"/>
      <c r="O75" s="61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.75" customHeight="1" x14ac:dyDescent="0.3">
      <c r="A76" s="55"/>
      <c r="B76" s="61"/>
      <c r="C76" s="61"/>
      <c r="D76" s="62"/>
      <c r="E76" s="60"/>
      <c r="F76" s="60"/>
      <c r="G76" s="61"/>
      <c r="H76" s="61"/>
      <c r="I76" s="62"/>
      <c r="J76" s="62"/>
      <c r="K76" s="63"/>
      <c r="L76" s="61"/>
      <c r="M76" s="55"/>
      <c r="N76" s="61"/>
      <c r="O76" s="61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5.75" customHeight="1" x14ac:dyDescent="0.3">
      <c r="A77" s="55"/>
      <c r="B77" s="61"/>
      <c r="C77" s="61"/>
      <c r="D77" s="62"/>
      <c r="E77" s="60"/>
      <c r="F77" s="60"/>
      <c r="G77" s="61"/>
      <c r="H77" s="61"/>
      <c r="I77" s="62"/>
      <c r="J77" s="62"/>
      <c r="K77" s="63"/>
      <c r="L77" s="61"/>
      <c r="M77" s="55"/>
      <c r="N77" s="61"/>
      <c r="O77" s="61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5.75" customHeight="1" x14ac:dyDescent="0.3">
      <c r="A78" s="55"/>
      <c r="B78" s="61"/>
      <c r="C78" s="61"/>
      <c r="D78" s="62"/>
      <c r="E78" s="60"/>
      <c r="F78" s="60"/>
      <c r="G78" s="61"/>
      <c r="H78" s="61"/>
      <c r="I78" s="62"/>
      <c r="J78" s="62"/>
      <c r="K78" s="63"/>
      <c r="L78" s="61"/>
      <c r="M78" s="55"/>
      <c r="N78" s="61"/>
      <c r="O78" s="61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5.75" customHeight="1" x14ac:dyDescent="0.3">
      <c r="A79" s="55"/>
      <c r="B79" s="61"/>
      <c r="C79" s="61"/>
      <c r="D79" s="62"/>
      <c r="E79" s="60"/>
      <c r="F79" s="60"/>
      <c r="G79" s="61"/>
      <c r="H79" s="61"/>
      <c r="I79" s="62"/>
      <c r="J79" s="62"/>
      <c r="K79" s="63"/>
      <c r="L79" s="61"/>
      <c r="M79" s="55"/>
      <c r="N79" s="61"/>
      <c r="O79" s="61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5.75" customHeight="1" x14ac:dyDescent="0.3">
      <c r="A80" s="55"/>
      <c r="B80" s="61"/>
      <c r="C80" s="61"/>
      <c r="D80" s="62"/>
      <c r="E80" s="60"/>
      <c r="F80" s="60"/>
      <c r="G80" s="61"/>
      <c r="H80" s="61"/>
      <c r="I80" s="62"/>
      <c r="J80" s="62"/>
      <c r="K80" s="63"/>
      <c r="L80" s="61"/>
      <c r="M80" s="55"/>
      <c r="N80" s="61"/>
      <c r="O80" s="61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5.75" customHeight="1" x14ac:dyDescent="0.3">
      <c r="A81" s="55"/>
      <c r="B81" s="61"/>
      <c r="C81" s="61"/>
      <c r="D81" s="62"/>
      <c r="E81" s="60"/>
      <c r="F81" s="60"/>
      <c r="G81" s="61"/>
      <c r="H81" s="61"/>
      <c r="I81" s="62"/>
      <c r="J81" s="62"/>
      <c r="K81" s="63"/>
      <c r="L81" s="61"/>
      <c r="M81" s="55"/>
      <c r="N81" s="61"/>
      <c r="O81" s="61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5.75" customHeight="1" x14ac:dyDescent="0.3">
      <c r="A82" s="55"/>
      <c r="B82" s="61"/>
      <c r="C82" s="61"/>
      <c r="D82" s="62"/>
      <c r="E82" s="60"/>
      <c r="F82" s="60"/>
      <c r="G82" s="61"/>
      <c r="H82" s="61"/>
      <c r="I82" s="62"/>
      <c r="J82" s="62"/>
      <c r="K82" s="63"/>
      <c r="L82" s="61"/>
      <c r="M82" s="55"/>
      <c r="N82" s="61"/>
      <c r="O82" s="61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5.75" customHeight="1" x14ac:dyDescent="0.3">
      <c r="A83" s="55"/>
      <c r="B83" s="61"/>
      <c r="C83" s="61"/>
      <c r="D83" s="62"/>
      <c r="E83" s="60"/>
      <c r="F83" s="60"/>
      <c r="G83" s="61"/>
      <c r="H83" s="61"/>
      <c r="I83" s="62"/>
      <c r="J83" s="62"/>
      <c r="K83" s="63"/>
      <c r="L83" s="61"/>
      <c r="M83" s="55"/>
      <c r="N83" s="61"/>
      <c r="O83" s="61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5.75" customHeight="1" x14ac:dyDescent="0.3">
      <c r="A84" s="55"/>
      <c r="B84" s="61"/>
      <c r="C84" s="61"/>
      <c r="D84" s="62"/>
      <c r="E84" s="60"/>
      <c r="F84" s="60"/>
      <c r="G84" s="61"/>
      <c r="H84" s="61"/>
      <c r="I84" s="62"/>
      <c r="J84" s="62"/>
      <c r="K84" s="63"/>
      <c r="L84" s="61"/>
      <c r="M84" s="55"/>
      <c r="N84" s="61"/>
      <c r="O84" s="61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.75" customHeight="1" x14ac:dyDescent="0.3">
      <c r="A85" s="55"/>
      <c r="B85" s="61"/>
      <c r="C85" s="61"/>
      <c r="D85" s="62"/>
      <c r="E85" s="60"/>
      <c r="F85" s="60"/>
      <c r="G85" s="61"/>
      <c r="H85" s="61"/>
      <c r="I85" s="62"/>
      <c r="J85" s="62"/>
      <c r="K85" s="63"/>
      <c r="L85" s="61"/>
      <c r="M85" s="55"/>
      <c r="N85" s="61"/>
      <c r="O85" s="61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.75" customHeight="1" x14ac:dyDescent="0.3">
      <c r="A86" s="55"/>
      <c r="B86" s="61"/>
      <c r="C86" s="61"/>
      <c r="D86" s="62"/>
      <c r="E86" s="60"/>
      <c r="F86" s="60"/>
      <c r="G86" s="61"/>
      <c r="H86" s="61"/>
      <c r="I86" s="62"/>
      <c r="J86" s="62"/>
      <c r="K86" s="63"/>
      <c r="L86" s="61"/>
      <c r="M86" s="55"/>
      <c r="N86" s="61"/>
      <c r="O86" s="61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5.75" customHeight="1" x14ac:dyDescent="0.3">
      <c r="A87" s="55"/>
      <c r="B87" s="61"/>
      <c r="C87" s="61"/>
      <c r="D87" s="62"/>
      <c r="E87" s="60"/>
      <c r="F87" s="60"/>
      <c r="G87" s="61"/>
      <c r="H87" s="61"/>
      <c r="I87" s="62"/>
      <c r="J87" s="62"/>
      <c r="K87" s="63"/>
      <c r="L87" s="61"/>
      <c r="M87" s="55"/>
      <c r="N87" s="61"/>
      <c r="O87" s="61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5.75" customHeight="1" x14ac:dyDescent="0.3">
      <c r="A88" s="55"/>
      <c r="B88" s="61"/>
      <c r="C88" s="61"/>
      <c r="D88" s="62"/>
      <c r="E88" s="60"/>
      <c r="F88" s="60"/>
      <c r="G88" s="61"/>
      <c r="H88" s="61"/>
      <c r="I88" s="62"/>
      <c r="J88" s="62"/>
      <c r="K88" s="63"/>
      <c r="L88" s="61"/>
      <c r="M88" s="55"/>
      <c r="N88" s="61"/>
      <c r="O88" s="61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5.75" customHeight="1" x14ac:dyDescent="0.3">
      <c r="A89" s="55"/>
      <c r="B89" s="61"/>
      <c r="C89" s="61"/>
      <c r="D89" s="62"/>
      <c r="E89" s="60"/>
      <c r="F89" s="60"/>
      <c r="G89" s="61"/>
      <c r="H89" s="61"/>
      <c r="I89" s="62"/>
      <c r="J89" s="62"/>
      <c r="K89" s="63"/>
      <c r="L89" s="61"/>
      <c r="M89" s="55"/>
      <c r="N89" s="61"/>
      <c r="O89" s="61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5.75" customHeight="1" x14ac:dyDescent="0.3">
      <c r="A90" s="55"/>
      <c r="B90" s="61"/>
      <c r="C90" s="61"/>
      <c r="D90" s="62"/>
      <c r="E90" s="60"/>
      <c r="F90" s="60"/>
      <c r="G90" s="61"/>
      <c r="H90" s="61"/>
      <c r="I90" s="62"/>
      <c r="J90" s="62"/>
      <c r="K90" s="63"/>
      <c r="L90" s="61"/>
      <c r="M90" s="55"/>
      <c r="N90" s="61"/>
      <c r="O90" s="61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5.75" customHeight="1" x14ac:dyDescent="0.3">
      <c r="A91" s="55"/>
      <c r="B91" s="61"/>
      <c r="C91" s="61"/>
      <c r="D91" s="62"/>
      <c r="E91" s="60"/>
      <c r="F91" s="60"/>
      <c r="G91" s="61"/>
      <c r="H91" s="61"/>
      <c r="I91" s="62"/>
      <c r="J91" s="62"/>
      <c r="K91" s="63"/>
      <c r="L91" s="61"/>
      <c r="M91" s="55"/>
      <c r="N91" s="61"/>
      <c r="O91" s="61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5.75" customHeight="1" x14ac:dyDescent="0.3">
      <c r="A92" s="55"/>
      <c r="B92" s="61"/>
      <c r="C92" s="61"/>
      <c r="D92" s="62"/>
      <c r="E92" s="60"/>
      <c r="F92" s="60"/>
      <c r="G92" s="61"/>
      <c r="H92" s="61"/>
      <c r="I92" s="62"/>
      <c r="J92" s="62"/>
      <c r="K92" s="63"/>
      <c r="L92" s="61"/>
      <c r="M92" s="55"/>
      <c r="N92" s="61"/>
      <c r="O92" s="61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5.75" customHeight="1" x14ac:dyDescent="0.3">
      <c r="A93" s="55"/>
      <c r="B93" s="61"/>
      <c r="C93" s="61"/>
      <c r="D93" s="62"/>
      <c r="E93" s="60"/>
      <c r="F93" s="60"/>
      <c r="G93" s="61"/>
      <c r="H93" s="61"/>
      <c r="I93" s="62"/>
      <c r="J93" s="62"/>
      <c r="K93" s="63"/>
      <c r="L93" s="61"/>
      <c r="M93" s="55"/>
      <c r="N93" s="61"/>
      <c r="O93" s="61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5.75" customHeight="1" x14ac:dyDescent="0.3">
      <c r="A94" s="55"/>
      <c r="B94" s="61"/>
      <c r="C94" s="61"/>
      <c r="D94" s="62"/>
      <c r="E94" s="60"/>
      <c r="F94" s="60"/>
      <c r="G94" s="61"/>
      <c r="H94" s="61"/>
      <c r="I94" s="62"/>
      <c r="J94" s="62"/>
      <c r="K94" s="63"/>
      <c r="L94" s="61"/>
      <c r="M94" s="55"/>
      <c r="N94" s="61"/>
      <c r="O94" s="61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.75" customHeight="1" x14ac:dyDescent="0.3">
      <c r="A95" s="55"/>
      <c r="B95" s="61"/>
      <c r="C95" s="61"/>
      <c r="D95" s="62"/>
      <c r="E95" s="60"/>
      <c r="F95" s="60"/>
      <c r="G95" s="61"/>
      <c r="H95" s="61"/>
      <c r="I95" s="62"/>
      <c r="J95" s="62"/>
      <c r="K95" s="63"/>
      <c r="L95" s="61"/>
      <c r="M95" s="55"/>
      <c r="N95" s="61"/>
      <c r="O95" s="61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.75" customHeight="1" x14ac:dyDescent="0.3">
      <c r="A96" s="55"/>
      <c r="B96" s="61"/>
      <c r="C96" s="61"/>
      <c r="D96" s="62"/>
      <c r="E96" s="60"/>
      <c r="F96" s="60"/>
      <c r="G96" s="61"/>
      <c r="H96" s="61"/>
      <c r="I96" s="62"/>
      <c r="J96" s="62"/>
      <c r="K96" s="63"/>
      <c r="L96" s="61"/>
      <c r="M96" s="55"/>
      <c r="N96" s="61"/>
      <c r="O96" s="61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5.75" customHeight="1" x14ac:dyDescent="0.3">
      <c r="A97" s="55"/>
      <c r="B97" s="61"/>
      <c r="C97" s="61"/>
      <c r="D97" s="62"/>
      <c r="E97" s="60"/>
      <c r="F97" s="60"/>
      <c r="G97" s="61"/>
      <c r="H97" s="61"/>
      <c r="I97" s="62"/>
      <c r="J97" s="62"/>
      <c r="K97" s="63"/>
      <c r="L97" s="61"/>
      <c r="M97" s="55"/>
      <c r="N97" s="61"/>
      <c r="O97" s="61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5.75" customHeight="1" x14ac:dyDescent="0.3">
      <c r="A98" s="55"/>
      <c r="B98" s="61"/>
      <c r="C98" s="61"/>
      <c r="D98" s="62"/>
      <c r="E98" s="60"/>
      <c r="F98" s="60"/>
      <c r="G98" s="61"/>
      <c r="H98" s="61"/>
      <c r="I98" s="62"/>
      <c r="J98" s="62"/>
      <c r="K98" s="63"/>
      <c r="L98" s="61"/>
      <c r="M98" s="55"/>
      <c r="N98" s="61"/>
      <c r="O98" s="61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5.75" customHeight="1" x14ac:dyDescent="0.3">
      <c r="A99" s="55"/>
      <c r="B99" s="61"/>
      <c r="C99" s="61"/>
      <c r="D99" s="62"/>
      <c r="E99" s="60"/>
      <c r="F99" s="60"/>
      <c r="G99" s="61"/>
      <c r="H99" s="61"/>
      <c r="I99" s="62"/>
      <c r="J99" s="62"/>
      <c r="K99" s="63"/>
      <c r="L99" s="61"/>
      <c r="M99" s="55"/>
      <c r="N99" s="61"/>
      <c r="O99" s="61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5.75" customHeight="1" x14ac:dyDescent="0.3">
      <c r="A100" s="55"/>
      <c r="B100" s="61"/>
      <c r="C100" s="61"/>
      <c r="D100" s="62"/>
      <c r="E100" s="60"/>
      <c r="F100" s="60"/>
      <c r="G100" s="61"/>
      <c r="H100" s="61"/>
      <c r="I100" s="62"/>
      <c r="J100" s="62"/>
      <c r="K100" s="63"/>
      <c r="L100" s="61"/>
      <c r="M100" s="55"/>
      <c r="N100" s="61"/>
      <c r="O100" s="61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5.75" customHeight="1" x14ac:dyDescent="0.3">
      <c r="A101" s="55"/>
      <c r="B101" s="61"/>
      <c r="C101" s="61"/>
      <c r="D101" s="62"/>
      <c r="E101" s="60"/>
      <c r="F101" s="60"/>
      <c r="G101" s="61"/>
      <c r="H101" s="61"/>
      <c r="I101" s="62"/>
      <c r="J101" s="62"/>
      <c r="K101" s="63"/>
      <c r="L101" s="61"/>
      <c r="M101" s="55"/>
      <c r="N101" s="61"/>
      <c r="O101" s="61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5.75" customHeight="1" x14ac:dyDescent="0.3">
      <c r="A102" s="55"/>
      <c r="B102" s="61"/>
      <c r="C102" s="61"/>
      <c r="D102" s="62"/>
      <c r="E102" s="60"/>
      <c r="F102" s="60"/>
      <c r="G102" s="61"/>
      <c r="H102" s="61"/>
      <c r="I102" s="62"/>
      <c r="J102" s="62"/>
      <c r="K102" s="63"/>
      <c r="L102" s="61"/>
      <c r="M102" s="55"/>
      <c r="N102" s="61"/>
      <c r="O102" s="61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5.75" customHeight="1" x14ac:dyDescent="0.3">
      <c r="A103" s="55"/>
      <c r="B103" s="61"/>
      <c r="C103" s="61"/>
      <c r="D103" s="62"/>
      <c r="E103" s="60"/>
      <c r="F103" s="60"/>
      <c r="G103" s="61"/>
      <c r="H103" s="61"/>
      <c r="I103" s="62"/>
      <c r="J103" s="62"/>
      <c r="K103" s="63"/>
      <c r="L103" s="61"/>
      <c r="M103" s="55"/>
      <c r="N103" s="61"/>
      <c r="O103" s="61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5.75" customHeight="1" x14ac:dyDescent="0.3">
      <c r="A104" s="55"/>
      <c r="B104" s="61"/>
      <c r="C104" s="61"/>
      <c r="D104" s="62"/>
      <c r="E104" s="60"/>
      <c r="F104" s="60"/>
      <c r="G104" s="61"/>
      <c r="H104" s="61"/>
      <c r="I104" s="62"/>
      <c r="J104" s="62"/>
      <c r="K104" s="63"/>
      <c r="L104" s="61"/>
      <c r="M104" s="55"/>
      <c r="N104" s="61"/>
      <c r="O104" s="61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5.75" customHeight="1" x14ac:dyDescent="0.3">
      <c r="A105" s="55"/>
      <c r="B105" s="61"/>
      <c r="C105" s="61"/>
      <c r="D105" s="62"/>
      <c r="E105" s="60"/>
      <c r="F105" s="60"/>
      <c r="G105" s="61"/>
      <c r="H105" s="61"/>
      <c r="I105" s="62"/>
      <c r="J105" s="62"/>
      <c r="K105" s="63"/>
      <c r="L105" s="61"/>
      <c r="M105" s="55"/>
      <c r="N105" s="61"/>
      <c r="O105" s="61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5.75" customHeight="1" x14ac:dyDescent="0.3">
      <c r="A106" s="55"/>
      <c r="B106" s="61"/>
      <c r="C106" s="61"/>
      <c r="D106" s="62"/>
      <c r="E106" s="60"/>
      <c r="F106" s="60"/>
      <c r="G106" s="61"/>
      <c r="H106" s="61"/>
      <c r="I106" s="62"/>
      <c r="J106" s="62"/>
      <c r="K106" s="63"/>
      <c r="L106" s="61"/>
      <c r="M106" s="55"/>
      <c r="N106" s="61"/>
      <c r="O106" s="61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5.75" customHeight="1" x14ac:dyDescent="0.3">
      <c r="A107" s="55"/>
      <c r="B107" s="61"/>
      <c r="C107" s="61"/>
      <c r="D107" s="62"/>
      <c r="E107" s="60"/>
      <c r="F107" s="60"/>
      <c r="G107" s="61"/>
      <c r="H107" s="61"/>
      <c r="I107" s="62"/>
      <c r="J107" s="62"/>
      <c r="K107" s="63"/>
      <c r="L107" s="61"/>
      <c r="M107" s="55"/>
      <c r="N107" s="61"/>
      <c r="O107" s="61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.75" customHeight="1" x14ac:dyDescent="0.3">
      <c r="A108" s="55"/>
      <c r="B108" s="61"/>
      <c r="C108" s="61"/>
      <c r="D108" s="62"/>
      <c r="E108" s="60"/>
      <c r="F108" s="60"/>
      <c r="G108" s="61"/>
      <c r="H108" s="61"/>
      <c r="I108" s="62"/>
      <c r="J108" s="62"/>
      <c r="K108" s="63"/>
      <c r="L108" s="61"/>
      <c r="M108" s="55"/>
      <c r="N108" s="61"/>
      <c r="O108" s="61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5.75" customHeight="1" x14ac:dyDescent="0.3">
      <c r="A109" s="55"/>
      <c r="B109" s="61"/>
      <c r="C109" s="61"/>
      <c r="D109" s="62"/>
      <c r="E109" s="60"/>
      <c r="F109" s="60"/>
      <c r="G109" s="61"/>
      <c r="H109" s="61"/>
      <c r="I109" s="62"/>
      <c r="J109" s="62"/>
      <c r="K109" s="63"/>
      <c r="L109" s="61"/>
      <c r="M109" s="55"/>
      <c r="N109" s="61"/>
      <c r="O109" s="61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5.75" customHeight="1" x14ac:dyDescent="0.3">
      <c r="A110" s="55"/>
      <c r="B110" s="61"/>
      <c r="C110" s="61"/>
      <c r="D110" s="62"/>
      <c r="E110" s="60"/>
      <c r="F110" s="60"/>
      <c r="G110" s="61"/>
      <c r="H110" s="61"/>
      <c r="I110" s="62"/>
      <c r="J110" s="62"/>
      <c r="K110" s="63"/>
      <c r="L110" s="61"/>
      <c r="M110" s="55"/>
      <c r="N110" s="61"/>
      <c r="O110" s="61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5.75" customHeight="1" x14ac:dyDescent="0.3">
      <c r="A111" s="55"/>
      <c r="B111" s="61"/>
      <c r="C111" s="61"/>
      <c r="D111" s="62"/>
      <c r="E111" s="60"/>
      <c r="F111" s="60"/>
      <c r="G111" s="61"/>
      <c r="H111" s="61"/>
      <c r="I111" s="62"/>
      <c r="J111" s="62"/>
      <c r="K111" s="63"/>
      <c r="L111" s="61"/>
      <c r="M111" s="55"/>
      <c r="N111" s="61"/>
      <c r="O111" s="61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5.75" customHeight="1" x14ac:dyDescent="0.3">
      <c r="A112" s="55"/>
      <c r="B112" s="61"/>
      <c r="C112" s="61"/>
      <c r="D112" s="62"/>
      <c r="E112" s="60"/>
      <c r="F112" s="60"/>
      <c r="G112" s="61"/>
      <c r="H112" s="61"/>
      <c r="I112" s="62"/>
      <c r="J112" s="62"/>
      <c r="K112" s="63"/>
      <c r="L112" s="61"/>
      <c r="M112" s="55"/>
      <c r="N112" s="61"/>
      <c r="O112" s="61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.75" customHeight="1" x14ac:dyDescent="0.3">
      <c r="A113" s="55"/>
      <c r="B113" s="61"/>
      <c r="C113" s="61"/>
      <c r="D113" s="62"/>
      <c r="E113" s="60"/>
      <c r="F113" s="60"/>
      <c r="G113" s="61"/>
      <c r="H113" s="61"/>
      <c r="I113" s="62"/>
      <c r="J113" s="62"/>
      <c r="K113" s="63"/>
      <c r="L113" s="61"/>
      <c r="M113" s="55"/>
      <c r="N113" s="61"/>
      <c r="O113" s="61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5.75" customHeight="1" x14ac:dyDescent="0.3">
      <c r="A114" s="55"/>
      <c r="B114" s="61"/>
      <c r="C114" s="61"/>
      <c r="D114" s="62"/>
      <c r="E114" s="60"/>
      <c r="F114" s="60"/>
      <c r="G114" s="61"/>
      <c r="H114" s="61"/>
      <c r="I114" s="62"/>
      <c r="J114" s="62"/>
      <c r="K114" s="63"/>
      <c r="L114" s="61"/>
      <c r="M114" s="55"/>
      <c r="N114" s="61"/>
      <c r="O114" s="61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5.75" customHeight="1" x14ac:dyDescent="0.3">
      <c r="A115" s="55"/>
      <c r="B115" s="61"/>
      <c r="C115" s="61"/>
      <c r="D115" s="62"/>
      <c r="E115" s="60"/>
      <c r="F115" s="60"/>
      <c r="G115" s="61"/>
      <c r="H115" s="61"/>
      <c r="I115" s="62"/>
      <c r="J115" s="62"/>
      <c r="K115" s="63"/>
      <c r="L115" s="61"/>
      <c r="M115" s="55"/>
      <c r="N115" s="61"/>
      <c r="O115" s="61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.75" customHeight="1" x14ac:dyDescent="0.3">
      <c r="A116" s="55"/>
      <c r="B116" s="61"/>
      <c r="C116" s="61"/>
      <c r="D116" s="62"/>
      <c r="E116" s="60"/>
      <c r="F116" s="60"/>
      <c r="G116" s="61"/>
      <c r="H116" s="61"/>
      <c r="I116" s="62"/>
      <c r="J116" s="62"/>
      <c r="K116" s="63"/>
      <c r="L116" s="61"/>
      <c r="M116" s="55"/>
      <c r="N116" s="61"/>
      <c r="O116" s="61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5.75" customHeight="1" x14ac:dyDescent="0.3">
      <c r="A117" s="55"/>
      <c r="B117" s="61"/>
      <c r="C117" s="61"/>
      <c r="D117" s="62"/>
      <c r="E117" s="60"/>
      <c r="F117" s="60"/>
      <c r="G117" s="61"/>
      <c r="H117" s="61"/>
      <c r="I117" s="62"/>
      <c r="J117" s="62"/>
      <c r="K117" s="63"/>
      <c r="L117" s="61"/>
      <c r="M117" s="55"/>
      <c r="N117" s="61"/>
      <c r="O117" s="61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.75" customHeight="1" x14ac:dyDescent="0.3">
      <c r="A118" s="55"/>
      <c r="B118" s="61"/>
      <c r="C118" s="61"/>
      <c r="D118" s="62"/>
      <c r="E118" s="60"/>
      <c r="F118" s="60"/>
      <c r="G118" s="61"/>
      <c r="H118" s="61"/>
      <c r="I118" s="62"/>
      <c r="J118" s="62"/>
      <c r="K118" s="63"/>
      <c r="L118" s="61"/>
      <c r="M118" s="55"/>
      <c r="N118" s="61"/>
      <c r="O118" s="61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5.75" customHeight="1" x14ac:dyDescent="0.3">
      <c r="A119" s="55"/>
      <c r="B119" s="61"/>
      <c r="C119" s="61"/>
      <c r="D119" s="62"/>
      <c r="E119" s="60"/>
      <c r="F119" s="60"/>
      <c r="G119" s="61"/>
      <c r="H119" s="61"/>
      <c r="I119" s="62"/>
      <c r="J119" s="62"/>
      <c r="K119" s="63"/>
      <c r="L119" s="61"/>
      <c r="M119" s="55"/>
      <c r="N119" s="61"/>
      <c r="O119" s="61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5.75" customHeight="1" x14ac:dyDescent="0.3">
      <c r="A120" s="55"/>
      <c r="B120" s="61"/>
      <c r="C120" s="61"/>
      <c r="D120" s="62"/>
      <c r="E120" s="60"/>
      <c r="F120" s="60"/>
      <c r="G120" s="61"/>
      <c r="H120" s="61"/>
      <c r="I120" s="62"/>
      <c r="J120" s="62"/>
      <c r="K120" s="63"/>
      <c r="L120" s="61"/>
      <c r="M120" s="55"/>
      <c r="N120" s="61"/>
      <c r="O120" s="61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5.75" customHeight="1" x14ac:dyDescent="0.3">
      <c r="A121" s="55"/>
      <c r="B121" s="61"/>
      <c r="C121" s="61"/>
      <c r="D121" s="62"/>
      <c r="E121" s="60"/>
      <c r="F121" s="60"/>
      <c r="G121" s="61"/>
      <c r="H121" s="61"/>
      <c r="I121" s="62"/>
      <c r="J121" s="62"/>
      <c r="K121" s="63"/>
      <c r="L121" s="61"/>
      <c r="M121" s="55"/>
      <c r="N121" s="61"/>
      <c r="O121" s="61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5.75" customHeight="1" x14ac:dyDescent="0.3">
      <c r="A122" s="55"/>
      <c r="B122" s="61"/>
      <c r="C122" s="61"/>
      <c r="D122" s="62"/>
      <c r="E122" s="60"/>
      <c r="F122" s="60"/>
      <c r="G122" s="61"/>
      <c r="H122" s="61"/>
      <c r="I122" s="62"/>
      <c r="J122" s="62"/>
      <c r="K122" s="63"/>
      <c r="L122" s="61"/>
      <c r="M122" s="55"/>
      <c r="N122" s="61"/>
      <c r="O122" s="61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.75" customHeight="1" x14ac:dyDescent="0.3">
      <c r="A123" s="55"/>
      <c r="B123" s="61"/>
      <c r="C123" s="61"/>
      <c r="D123" s="62"/>
      <c r="E123" s="60"/>
      <c r="F123" s="60"/>
      <c r="G123" s="61"/>
      <c r="H123" s="61"/>
      <c r="I123" s="62"/>
      <c r="J123" s="62"/>
      <c r="K123" s="63"/>
      <c r="L123" s="61"/>
      <c r="M123" s="55"/>
      <c r="N123" s="61"/>
      <c r="O123" s="61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5.75" customHeight="1" x14ac:dyDescent="0.3">
      <c r="A124" s="55"/>
      <c r="B124" s="61"/>
      <c r="C124" s="61"/>
      <c r="D124" s="62"/>
      <c r="E124" s="60"/>
      <c r="F124" s="60"/>
      <c r="G124" s="61"/>
      <c r="H124" s="61"/>
      <c r="I124" s="62"/>
      <c r="J124" s="62"/>
      <c r="K124" s="63"/>
      <c r="L124" s="61"/>
      <c r="M124" s="55"/>
      <c r="N124" s="61"/>
      <c r="O124" s="61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5.75" customHeight="1" x14ac:dyDescent="0.3">
      <c r="A125" s="55"/>
      <c r="B125" s="61"/>
      <c r="C125" s="61"/>
      <c r="D125" s="62"/>
      <c r="E125" s="60"/>
      <c r="F125" s="60"/>
      <c r="G125" s="61"/>
      <c r="H125" s="61"/>
      <c r="I125" s="62"/>
      <c r="J125" s="62"/>
      <c r="K125" s="63"/>
      <c r="L125" s="61"/>
      <c r="M125" s="55"/>
      <c r="N125" s="61"/>
      <c r="O125" s="61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5.75" customHeight="1" x14ac:dyDescent="0.3">
      <c r="A126" s="55"/>
      <c r="B126" s="61"/>
      <c r="C126" s="61"/>
      <c r="D126" s="62"/>
      <c r="E126" s="60"/>
      <c r="F126" s="60"/>
      <c r="G126" s="61"/>
      <c r="H126" s="61"/>
      <c r="I126" s="62"/>
      <c r="J126" s="62"/>
      <c r="K126" s="63"/>
      <c r="L126" s="61"/>
      <c r="M126" s="55"/>
      <c r="N126" s="61"/>
      <c r="O126" s="61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5.75" customHeight="1" x14ac:dyDescent="0.3">
      <c r="A127" s="55"/>
      <c r="B127" s="61"/>
      <c r="C127" s="61"/>
      <c r="D127" s="62"/>
      <c r="E127" s="60"/>
      <c r="F127" s="60"/>
      <c r="G127" s="61"/>
      <c r="H127" s="61"/>
      <c r="I127" s="62"/>
      <c r="J127" s="62"/>
      <c r="K127" s="63"/>
      <c r="L127" s="61"/>
      <c r="M127" s="55"/>
      <c r="N127" s="61"/>
      <c r="O127" s="61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.75" customHeight="1" x14ac:dyDescent="0.3">
      <c r="A128" s="55"/>
      <c r="B128" s="61"/>
      <c r="C128" s="61"/>
      <c r="D128" s="62"/>
      <c r="E128" s="60"/>
      <c r="F128" s="60"/>
      <c r="G128" s="61"/>
      <c r="H128" s="61"/>
      <c r="I128" s="62"/>
      <c r="J128" s="62"/>
      <c r="K128" s="63"/>
      <c r="L128" s="61"/>
      <c r="M128" s="55"/>
      <c r="N128" s="61"/>
      <c r="O128" s="61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5.75" customHeight="1" x14ac:dyDescent="0.3">
      <c r="A129" s="55"/>
      <c r="B129" s="61"/>
      <c r="C129" s="61"/>
      <c r="D129" s="62"/>
      <c r="E129" s="60"/>
      <c r="F129" s="60"/>
      <c r="G129" s="61"/>
      <c r="H129" s="61"/>
      <c r="I129" s="62"/>
      <c r="J129" s="62"/>
      <c r="K129" s="63"/>
      <c r="L129" s="61"/>
      <c r="M129" s="55"/>
      <c r="N129" s="61"/>
      <c r="O129" s="61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spans="1:35" ht="15.75" customHeight="1" x14ac:dyDescent="0.3">
      <c r="A130" s="55"/>
      <c r="B130" s="61"/>
      <c r="C130" s="61"/>
      <c r="D130" s="62"/>
      <c r="E130" s="60"/>
      <c r="F130" s="60"/>
      <c r="G130" s="61"/>
      <c r="H130" s="61"/>
      <c r="I130" s="62"/>
      <c r="J130" s="62"/>
      <c r="K130" s="63"/>
      <c r="L130" s="61"/>
      <c r="M130" s="55"/>
      <c r="N130" s="61"/>
      <c r="O130" s="61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5.75" customHeight="1" x14ac:dyDescent="0.3">
      <c r="A131" s="55"/>
      <c r="B131" s="61"/>
      <c r="C131" s="61"/>
      <c r="D131" s="62"/>
      <c r="E131" s="60"/>
      <c r="F131" s="60"/>
      <c r="G131" s="61"/>
      <c r="H131" s="61"/>
      <c r="I131" s="62"/>
      <c r="J131" s="62"/>
      <c r="K131" s="63"/>
      <c r="L131" s="61"/>
      <c r="M131" s="55"/>
      <c r="N131" s="61"/>
      <c r="O131" s="61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.75" customHeight="1" x14ac:dyDescent="0.3">
      <c r="A132" s="55"/>
      <c r="B132" s="61"/>
      <c r="C132" s="61"/>
      <c r="D132" s="62"/>
      <c r="E132" s="60"/>
      <c r="F132" s="60"/>
      <c r="G132" s="61"/>
      <c r="H132" s="61"/>
      <c r="I132" s="62"/>
      <c r="J132" s="62"/>
      <c r="K132" s="63"/>
      <c r="L132" s="61"/>
      <c r="M132" s="55"/>
      <c r="N132" s="61"/>
      <c r="O132" s="61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.75" customHeight="1" x14ac:dyDescent="0.3">
      <c r="A133" s="55"/>
      <c r="B133" s="61"/>
      <c r="C133" s="61"/>
      <c r="D133" s="62"/>
      <c r="E133" s="60"/>
      <c r="F133" s="60"/>
      <c r="G133" s="61"/>
      <c r="H133" s="61"/>
      <c r="I133" s="62"/>
      <c r="J133" s="62"/>
      <c r="K133" s="63"/>
      <c r="L133" s="61"/>
      <c r="M133" s="55"/>
      <c r="N133" s="61"/>
      <c r="O133" s="61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5.75" customHeight="1" x14ac:dyDescent="0.3">
      <c r="A134" s="55"/>
      <c r="B134" s="61"/>
      <c r="C134" s="61"/>
      <c r="D134" s="62"/>
      <c r="E134" s="60"/>
      <c r="F134" s="60"/>
      <c r="G134" s="61"/>
      <c r="H134" s="61"/>
      <c r="I134" s="62"/>
      <c r="J134" s="62"/>
      <c r="K134" s="63"/>
      <c r="L134" s="61"/>
      <c r="M134" s="55"/>
      <c r="N134" s="61"/>
      <c r="O134" s="61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5.75" customHeight="1" x14ac:dyDescent="0.3">
      <c r="A135" s="55"/>
      <c r="B135" s="61"/>
      <c r="C135" s="61"/>
      <c r="D135" s="62"/>
      <c r="E135" s="60"/>
      <c r="F135" s="60"/>
      <c r="G135" s="61"/>
      <c r="H135" s="61"/>
      <c r="I135" s="62"/>
      <c r="J135" s="62"/>
      <c r="K135" s="63"/>
      <c r="L135" s="61"/>
      <c r="M135" s="55"/>
      <c r="N135" s="61"/>
      <c r="O135" s="61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5.75" customHeight="1" x14ac:dyDescent="0.3">
      <c r="A136" s="55"/>
      <c r="B136" s="61"/>
      <c r="C136" s="61"/>
      <c r="D136" s="62"/>
      <c r="E136" s="60"/>
      <c r="F136" s="60"/>
      <c r="G136" s="61"/>
      <c r="H136" s="61"/>
      <c r="I136" s="62"/>
      <c r="J136" s="62"/>
      <c r="K136" s="63"/>
      <c r="L136" s="61"/>
      <c r="M136" s="55"/>
      <c r="N136" s="61"/>
      <c r="O136" s="61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5.75" customHeight="1" x14ac:dyDescent="0.3">
      <c r="A137" s="55"/>
      <c r="B137" s="61"/>
      <c r="C137" s="61"/>
      <c r="D137" s="62"/>
      <c r="E137" s="60"/>
      <c r="F137" s="60"/>
      <c r="G137" s="61"/>
      <c r="H137" s="61"/>
      <c r="I137" s="62"/>
      <c r="J137" s="62"/>
      <c r="K137" s="63"/>
      <c r="L137" s="61"/>
      <c r="M137" s="55"/>
      <c r="N137" s="61"/>
      <c r="O137" s="61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5.75" customHeight="1" x14ac:dyDescent="0.3">
      <c r="A138" s="55"/>
      <c r="B138" s="61"/>
      <c r="C138" s="61"/>
      <c r="D138" s="62"/>
      <c r="E138" s="60"/>
      <c r="F138" s="60"/>
      <c r="G138" s="61"/>
      <c r="H138" s="61"/>
      <c r="I138" s="62"/>
      <c r="J138" s="62"/>
      <c r="K138" s="63"/>
      <c r="L138" s="61"/>
      <c r="M138" s="55"/>
      <c r="N138" s="61"/>
      <c r="O138" s="61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5.75" customHeight="1" x14ac:dyDescent="0.3">
      <c r="A139" s="55"/>
      <c r="B139" s="61"/>
      <c r="C139" s="61"/>
      <c r="D139" s="62"/>
      <c r="E139" s="60"/>
      <c r="F139" s="60"/>
      <c r="G139" s="61"/>
      <c r="H139" s="61"/>
      <c r="I139" s="62"/>
      <c r="J139" s="62"/>
      <c r="K139" s="63"/>
      <c r="L139" s="61"/>
      <c r="M139" s="55"/>
      <c r="N139" s="61"/>
      <c r="O139" s="61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5.75" customHeight="1" x14ac:dyDescent="0.3">
      <c r="A140" s="55"/>
      <c r="B140" s="61"/>
      <c r="C140" s="61"/>
      <c r="D140" s="62"/>
      <c r="E140" s="60"/>
      <c r="F140" s="60"/>
      <c r="G140" s="61"/>
      <c r="H140" s="61"/>
      <c r="I140" s="62"/>
      <c r="J140" s="62"/>
      <c r="K140" s="63"/>
      <c r="L140" s="61"/>
      <c r="M140" s="55"/>
      <c r="N140" s="61"/>
      <c r="O140" s="61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5.75" customHeight="1" x14ac:dyDescent="0.3">
      <c r="A141" s="55"/>
      <c r="B141" s="61"/>
      <c r="C141" s="61"/>
      <c r="D141" s="62"/>
      <c r="E141" s="60"/>
      <c r="F141" s="60"/>
      <c r="G141" s="61"/>
      <c r="H141" s="61"/>
      <c r="I141" s="62"/>
      <c r="J141" s="62"/>
      <c r="K141" s="63"/>
      <c r="L141" s="61"/>
      <c r="M141" s="55"/>
      <c r="N141" s="61"/>
      <c r="O141" s="61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5.75" customHeight="1" x14ac:dyDescent="0.3">
      <c r="A142" s="55"/>
      <c r="B142" s="61"/>
      <c r="C142" s="61"/>
      <c r="D142" s="62"/>
      <c r="E142" s="60"/>
      <c r="F142" s="60"/>
      <c r="G142" s="61"/>
      <c r="H142" s="61"/>
      <c r="I142" s="62"/>
      <c r="J142" s="62"/>
      <c r="K142" s="63"/>
      <c r="L142" s="61"/>
      <c r="M142" s="55"/>
      <c r="N142" s="61"/>
      <c r="O142" s="61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5.75" customHeight="1" x14ac:dyDescent="0.3">
      <c r="A143" s="55"/>
      <c r="B143" s="61"/>
      <c r="C143" s="61"/>
      <c r="D143" s="62"/>
      <c r="E143" s="60"/>
      <c r="F143" s="60"/>
      <c r="G143" s="61"/>
      <c r="H143" s="61"/>
      <c r="I143" s="62"/>
      <c r="J143" s="62"/>
      <c r="K143" s="63"/>
      <c r="L143" s="61"/>
      <c r="M143" s="55"/>
      <c r="N143" s="61"/>
      <c r="O143" s="61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5.75" customHeight="1" x14ac:dyDescent="0.3">
      <c r="A144" s="55"/>
      <c r="B144" s="61"/>
      <c r="C144" s="61"/>
      <c r="D144" s="62"/>
      <c r="E144" s="60"/>
      <c r="F144" s="60"/>
      <c r="G144" s="61"/>
      <c r="H144" s="61"/>
      <c r="I144" s="62"/>
      <c r="J144" s="62"/>
      <c r="K144" s="63"/>
      <c r="L144" s="61"/>
      <c r="M144" s="55"/>
      <c r="N144" s="61"/>
      <c r="O144" s="61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5.75" customHeight="1" x14ac:dyDescent="0.3">
      <c r="A145" s="55"/>
      <c r="B145" s="61"/>
      <c r="C145" s="61"/>
      <c r="D145" s="62"/>
      <c r="E145" s="60"/>
      <c r="F145" s="60"/>
      <c r="G145" s="61"/>
      <c r="H145" s="61"/>
      <c r="I145" s="62"/>
      <c r="J145" s="62"/>
      <c r="K145" s="63"/>
      <c r="L145" s="61"/>
      <c r="M145" s="55"/>
      <c r="N145" s="61"/>
      <c r="O145" s="61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5.75" customHeight="1" x14ac:dyDescent="0.3">
      <c r="A146" s="55"/>
      <c r="B146" s="61"/>
      <c r="C146" s="61"/>
      <c r="D146" s="62"/>
      <c r="E146" s="60"/>
      <c r="F146" s="60"/>
      <c r="G146" s="61"/>
      <c r="H146" s="61"/>
      <c r="I146" s="62"/>
      <c r="J146" s="62"/>
      <c r="K146" s="63"/>
      <c r="L146" s="61"/>
      <c r="M146" s="55"/>
      <c r="N146" s="61"/>
      <c r="O146" s="61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5.75" customHeight="1" x14ac:dyDescent="0.3">
      <c r="A147" s="55"/>
      <c r="B147" s="61"/>
      <c r="C147" s="61"/>
      <c r="D147" s="62"/>
      <c r="E147" s="60"/>
      <c r="F147" s="60"/>
      <c r="G147" s="61"/>
      <c r="H147" s="61"/>
      <c r="I147" s="62"/>
      <c r="J147" s="62"/>
      <c r="K147" s="63"/>
      <c r="L147" s="61"/>
      <c r="M147" s="55"/>
      <c r="N147" s="61"/>
      <c r="O147" s="61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5.75" customHeight="1" x14ac:dyDescent="0.3">
      <c r="A148" s="55"/>
      <c r="B148" s="61"/>
      <c r="C148" s="61"/>
      <c r="D148" s="62"/>
      <c r="E148" s="60"/>
      <c r="F148" s="60"/>
      <c r="G148" s="61"/>
      <c r="H148" s="61"/>
      <c r="I148" s="62"/>
      <c r="J148" s="62"/>
      <c r="K148" s="63"/>
      <c r="L148" s="61"/>
      <c r="M148" s="55"/>
      <c r="N148" s="61"/>
      <c r="O148" s="61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5.75" customHeight="1" x14ac:dyDescent="0.3">
      <c r="A149" s="55"/>
      <c r="B149" s="61"/>
      <c r="C149" s="61"/>
      <c r="D149" s="62"/>
      <c r="E149" s="60"/>
      <c r="F149" s="60"/>
      <c r="G149" s="61"/>
      <c r="H149" s="61"/>
      <c r="I149" s="62"/>
      <c r="J149" s="62"/>
      <c r="K149" s="63"/>
      <c r="L149" s="61"/>
      <c r="M149" s="55"/>
      <c r="N149" s="61"/>
      <c r="O149" s="61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5.75" customHeight="1" x14ac:dyDescent="0.3">
      <c r="A150" s="55"/>
      <c r="B150" s="61"/>
      <c r="C150" s="61"/>
      <c r="D150" s="62"/>
      <c r="E150" s="60"/>
      <c r="F150" s="60"/>
      <c r="G150" s="61"/>
      <c r="H150" s="61"/>
      <c r="I150" s="62"/>
      <c r="J150" s="62"/>
      <c r="K150" s="63"/>
      <c r="L150" s="61"/>
      <c r="M150" s="55"/>
      <c r="N150" s="61"/>
      <c r="O150" s="61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5.75" customHeight="1" x14ac:dyDescent="0.3">
      <c r="A151" s="55"/>
      <c r="B151" s="61"/>
      <c r="C151" s="61"/>
      <c r="D151" s="62"/>
      <c r="E151" s="60"/>
      <c r="F151" s="60"/>
      <c r="G151" s="61"/>
      <c r="H151" s="61"/>
      <c r="I151" s="62"/>
      <c r="J151" s="62"/>
      <c r="K151" s="63"/>
      <c r="L151" s="61"/>
      <c r="M151" s="55"/>
      <c r="N151" s="61"/>
      <c r="O151" s="61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5.75" customHeight="1" x14ac:dyDescent="0.3">
      <c r="A152" s="55"/>
      <c r="B152" s="61"/>
      <c r="C152" s="61"/>
      <c r="D152" s="62"/>
      <c r="E152" s="60"/>
      <c r="F152" s="60"/>
      <c r="G152" s="61"/>
      <c r="H152" s="61"/>
      <c r="I152" s="62"/>
      <c r="J152" s="62"/>
      <c r="K152" s="63"/>
      <c r="L152" s="61"/>
      <c r="M152" s="55"/>
      <c r="N152" s="61"/>
      <c r="O152" s="61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5.75" customHeight="1" x14ac:dyDescent="0.3">
      <c r="A153" s="55"/>
      <c r="B153" s="61"/>
      <c r="C153" s="61"/>
      <c r="D153" s="62"/>
      <c r="E153" s="60"/>
      <c r="F153" s="60"/>
      <c r="G153" s="61"/>
      <c r="H153" s="61"/>
      <c r="I153" s="62"/>
      <c r="J153" s="62"/>
      <c r="K153" s="63"/>
      <c r="L153" s="61"/>
      <c r="M153" s="55"/>
      <c r="N153" s="61"/>
      <c r="O153" s="61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5.75" customHeight="1" x14ac:dyDescent="0.3">
      <c r="A154" s="55"/>
      <c r="B154" s="61"/>
      <c r="C154" s="61"/>
      <c r="D154" s="62"/>
      <c r="E154" s="60"/>
      <c r="F154" s="60"/>
      <c r="G154" s="61"/>
      <c r="H154" s="61"/>
      <c r="I154" s="62"/>
      <c r="J154" s="62"/>
      <c r="K154" s="63"/>
      <c r="L154" s="61"/>
      <c r="M154" s="55"/>
      <c r="N154" s="61"/>
      <c r="O154" s="61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5.75" customHeight="1" x14ac:dyDescent="0.3">
      <c r="A155" s="55"/>
      <c r="B155" s="61"/>
      <c r="C155" s="61"/>
      <c r="D155" s="62"/>
      <c r="E155" s="60"/>
      <c r="F155" s="60"/>
      <c r="G155" s="61"/>
      <c r="H155" s="61"/>
      <c r="I155" s="62"/>
      <c r="J155" s="62"/>
      <c r="K155" s="63"/>
      <c r="L155" s="61"/>
      <c r="M155" s="55"/>
      <c r="N155" s="61"/>
      <c r="O155" s="61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5.75" customHeight="1" x14ac:dyDescent="0.3">
      <c r="A156" s="55"/>
      <c r="B156" s="61"/>
      <c r="C156" s="61"/>
      <c r="D156" s="62"/>
      <c r="E156" s="60"/>
      <c r="F156" s="60"/>
      <c r="G156" s="61"/>
      <c r="H156" s="61"/>
      <c r="I156" s="62"/>
      <c r="J156" s="62"/>
      <c r="K156" s="63"/>
      <c r="L156" s="61"/>
      <c r="M156" s="55"/>
      <c r="N156" s="61"/>
      <c r="O156" s="61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5.75" customHeight="1" x14ac:dyDescent="0.3">
      <c r="A157" s="55"/>
      <c r="B157" s="61"/>
      <c r="C157" s="61"/>
      <c r="D157" s="62"/>
      <c r="E157" s="60"/>
      <c r="F157" s="60"/>
      <c r="G157" s="61"/>
      <c r="H157" s="61"/>
      <c r="I157" s="62"/>
      <c r="J157" s="62"/>
      <c r="K157" s="63"/>
      <c r="L157" s="61"/>
      <c r="M157" s="55"/>
      <c r="N157" s="61"/>
      <c r="O157" s="61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5.75" customHeight="1" x14ac:dyDescent="0.3">
      <c r="A158" s="55"/>
      <c r="B158" s="61"/>
      <c r="C158" s="61"/>
      <c r="D158" s="62"/>
      <c r="E158" s="60"/>
      <c r="F158" s="60"/>
      <c r="G158" s="61"/>
      <c r="H158" s="61"/>
      <c r="I158" s="62"/>
      <c r="J158" s="62"/>
      <c r="K158" s="63"/>
      <c r="L158" s="61"/>
      <c r="M158" s="55"/>
      <c r="N158" s="61"/>
      <c r="O158" s="61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5.75" customHeight="1" x14ac:dyDescent="0.3">
      <c r="A159" s="55"/>
      <c r="B159" s="61"/>
      <c r="C159" s="61"/>
      <c r="D159" s="62"/>
      <c r="E159" s="60"/>
      <c r="F159" s="60"/>
      <c r="G159" s="61"/>
      <c r="H159" s="61"/>
      <c r="I159" s="62"/>
      <c r="J159" s="62"/>
      <c r="K159" s="63"/>
      <c r="L159" s="61"/>
      <c r="M159" s="55"/>
      <c r="N159" s="61"/>
      <c r="O159" s="61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5.75" customHeight="1" x14ac:dyDescent="0.3">
      <c r="A160" s="55"/>
      <c r="B160" s="61"/>
      <c r="C160" s="61"/>
      <c r="D160" s="62"/>
      <c r="E160" s="60"/>
      <c r="F160" s="60"/>
      <c r="G160" s="61"/>
      <c r="H160" s="61"/>
      <c r="I160" s="62"/>
      <c r="J160" s="62"/>
      <c r="K160" s="63"/>
      <c r="L160" s="61"/>
      <c r="M160" s="55"/>
      <c r="N160" s="61"/>
      <c r="O160" s="61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5.75" customHeight="1" x14ac:dyDescent="0.3">
      <c r="A161" s="55"/>
      <c r="B161" s="61"/>
      <c r="C161" s="61"/>
      <c r="D161" s="62"/>
      <c r="E161" s="60"/>
      <c r="F161" s="60"/>
      <c r="G161" s="61"/>
      <c r="H161" s="61"/>
      <c r="I161" s="62"/>
      <c r="J161" s="62"/>
      <c r="K161" s="63"/>
      <c r="L161" s="61"/>
      <c r="M161" s="55"/>
      <c r="N161" s="61"/>
      <c r="O161" s="61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5.75" customHeight="1" x14ac:dyDescent="0.3">
      <c r="A162" s="55"/>
      <c r="B162" s="61"/>
      <c r="C162" s="61"/>
      <c r="D162" s="62"/>
      <c r="E162" s="60"/>
      <c r="F162" s="60"/>
      <c r="G162" s="61"/>
      <c r="H162" s="61"/>
      <c r="I162" s="62"/>
      <c r="J162" s="62"/>
      <c r="K162" s="63"/>
      <c r="L162" s="61"/>
      <c r="M162" s="55"/>
      <c r="N162" s="61"/>
      <c r="O162" s="61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5.75" customHeight="1" x14ac:dyDescent="0.3">
      <c r="A163" s="55"/>
      <c r="B163" s="61"/>
      <c r="C163" s="61"/>
      <c r="D163" s="62"/>
      <c r="E163" s="60"/>
      <c r="F163" s="60"/>
      <c r="G163" s="61"/>
      <c r="H163" s="61"/>
      <c r="I163" s="62"/>
      <c r="J163" s="62"/>
      <c r="K163" s="63"/>
      <c r="L163" s="61"/>
      <c r="M163" s="55"/>
      <c r="N163" s="61"/>
      <c r="O163" s="61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5.75" customHeight="1" x14ac:dyDescent="0.3">
      <c r="A164" s="55"/>
      <c r="B164" s="61"/>
      <c r="C164" s="61"/>
      <c r="D164" s="62"/>
      <c r="E164" s="60"/>
      <c r="F164" s="60"/>
      <c r="G164" s="61"/>
      <c r="H164" s="61"/>
      <c r="I164" s="62"/>
      <c r="J164" s="62"/>
      <c r="K164" s="63"/>
      <c r="L164" s="61"/>
      <c r="M164" s="55"/>
      <c r="N164" s="61"/>
      <c r="O164" s="61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5.75" customHeight="1" x14ac:dyDescent="0.3">
      <c r="A165" s="55"/>
      <c r="B165" s="61"/>
      <c r="C165" s="61"/>
      <c r="D165" s="62"/>
      <c r="E165" s="60"/>
      <c r="F165" s="60"/>
      <c r="G165" s="61"/>
      <c r="H165" s="61"/>
      <c r="I165" s="62"/>
      <c r="J165" s="62"/>
      <c r="K165" s="63"/>
      <c r="L165" s="61"/>
      <c r="M165" s="55"/>
      <c r="N165" s="61"/>
      <c r="O165" s="61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5.75" customHeight="1" x14ac:dyDescent="0.3">
      <c r="A166" s="55"/>
      <c r="B166" s="61"/>
      <c r="C166" s="61"/>
      <c r="D166" s="62"/>
      <c r="E166" s="60"/>
      <c r="F166" s="60"/>
      <c r="G166" s="61"/>
      <c r="H166" s="61"/>
      <c r="I166" s="62"/>
      <c r="J166" s="62"/>
      <c r="K166" s="63"/>
      <c r="L166" s="61"/>
      <c r="M166" s="55"/>
      <c r="N166" s="61"/>
      <c r="O166" s="61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5.75" customHeight="1" x14ac:dyDescent="0.3">
      <c r="A167" s="55"/>
      <c r="B167" s="61"/>
      <c r="C167" s="61"/>
      <c r="D167" s="62"/>
      <c r="E167" s="60"/>
      <c r="F167" s="60"/>
      <c r="G167" s="61"/>
      <c r="H167" s="61"/>
      <c r="I167" s="62"/>
      <c r="J167" s="62"/>
      <c r="K167" s="63"/>
      <c r="L167" s="61"/>
      <c r="M167" s="55"/>
      <c r="N167" s="61"/>
      <c r="O167" s="61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5.75" customHeight="1" x14ac:dyDescent="0.3">
      <c r="A168" s="55"/>
      <c r="B168" s="61"/>
      <c r="C168" s="61"/>
      <c r="D168" s="62"/>
      <c r="E168" s="60"/>
      <c r="F168" s="60"/>
      <c r="G168" s="61"/>
      <c r="H168" s="61"/>
      <c r="I168" s="62"/>
      <c r="J168" s="62"/>
      <c r="K168" s="63"/>
      <c r="L168" s="61"/>
      <c r="M168" s="55"/>
      <c r="N168" s="61"/>
      <c r="O168" s="61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5.75" customHeight="1" x14ac:dyDescent="0.3">
      <c r="A169" s="55"/>
      <c r="B169" s="61"/>
      <c r="C169" s="61"/>
      <c r="D169" s="62"/>
      <c r="E169" s="60"/>
      <c r="F169" s="60"/>
      <c r="G169" s="61"/>
      <c r="H169" s="61"/>
      <c r="I169" s="62"/>
      <c r="J169" s="62"/>
      <c r="K169" s="63"/>
      <c r="L169" s="61"/>
      <c r="M169" s="55"/>
      <c r="N169" s="61"/>
      <c r="O169" s="61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5.75" customHeight="1" x14ac:dyDescent="0.3">
      <c r="A170" s="55"/>
      <c r="B170" s="61"/>
      <c r="C170" s="61"/>
      <c r="D170" s="62"/>
      <c r="E170" s="60"/>
      <c r="F170" s="60"/>
      <c r="G170" s="61"/>
      <c r="H170" s="61"/>
      <c r="I170" s="62"/>
      <c r="J170" s="62"/>
      <c r="K170" s="63"/>
      <c r="L170" s="61"/>
      <c r="M170" s="55"/>
      <c r="N170" s="61"/>
      <c r="O170" s="61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5.75" customHeight="1" x14ac:dyDescent="0.3">
      <c r="A171" s="55"/>
      <c r="B171" s="61"/>
      <c r="C171" s="61"/>
      <c r="D171" s="62"/>
      <c r="E171" s="60"/>
      <c r="F171" s="60"/>
      <c r="G171" s="61"/>
      <c r="H171" s="61"/>
      <c r="I171" s="62"/>
      <c r="J171" s="62"/>
      <c r="K171" s="63"/>
      <c r="L171" s="61"/>
      <c r="M171" s="55"/>
      <c r="N171" s="61"/>
      <c r="O171" s="61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5.75" customHeight="1" x14ac:dyDescent="0.3">
      <c r="A172" s="55"/>
      <c r="B172" s="61"/>
      <c r="C172" s="61"/>
      <c r="D172" s="62"/>
      <c r="E172" s="60"/>
      <c r="F172" s="60"/>
      <c r="G172" s="61"/>
      <c r="H172" s="61"/>
      <c r="I172" s="62"/>
      <c r="J172" s="62"/>
      <c r="K172" s="63"/>
      <c r="L172" s="61"/>
      <c r="M172" s="55"/>
      <c r="N172" s="61"/>
      <c r="O172" s="61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5.75" customHeight="1" x14ac:dyDescent="0.3">
      <c r="A173" s="55"/>
      <c r="B173" s="61"/>
      <c r="C173" s="61"/>
      <c r="D173" s="62"/>
      <c r="E173" s="60"/>
      <c r="F173" s="60"/>
      <c r="G173" s="61"/>
      <c r="H173" s="61"/>
      <c r="I173" s="62"/>
      <c r="J173" s="62"/>
      <c r="K173" s="63"/>
      <c r="L173" s="61"/>
      <c r="M173" s="55"/>
      <c r="N173" s="61"/>
      <c r="O173" s="61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5.75" customHeight="1" x14ac:dyDescent="0.3">
      <c r="A174" s="55"/>
      <c r="B174" s="61"/>
      <c r="C174" s="61"/>
      <c r="D174" s="62"/>
      <c r="E174" s="60"/>
      <c r="F174" s="60"/>
      <c r="G174" s="61"/>
      <c r="H174" s="61"/>
      <c r="I174" s="62"/>
      <c r="J174" s="62"/>
      <c r="K174" s="63"/>
      <c r="L174" s="61"/>
      <c r="M174" s="55"/>
      <c r="N174" s="61"/>
      <c r="O174" s="61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5.75" customHeight="1" x14ac:dyDescent="0.3">
      <c r="A175" s="55"/>
      <c r="B175" s="61"/>
      <c r="C175" s="61"/>
      <c r="D175" s="62"/>
      <c r="E175" s="60"/>
      <c r="F175" s="60"/>
      <c r="G175" s="61"/>
      <c r="H175" s="61"/>
      <c r="I175" s="62"/>
      <c r="J175" s="62"/>
      <c r="K175" s="63"/>
      <c r="L175" s="61"/>
      <c r="M175" s="55"/>
      <c r="N175" s="61"/>
      <c r="O175" s="61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5.75" customHeight="1" x14ac:dyDescent="0.3">
      <c r="A176" s="55"/>
      <c r="B176" s="61"/>
      <c r="C176" s="61"/>
      <c r="D176" s="62"/>
      <c r="E176" s="60"/>
      <c r="F176" s="60"/>
      <c r="G176" s="61"/>
      <c r="H176" s="61"/>
      <c r="I176" s="62"/>
      <c r="J176" s="62"/>
      <c r="K176" s="63"/>
      <c r="L176" s="61"/>
      <c r="M176" s="55"/>
      <c r="N176" s="61"/>
      <c r="O176" s="61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5.75" customHeight="1" x14ac:dyDescent="0.3">
      <c r="A177" s="55"/>
      <c r="B177" s="61"/>
      <c r="C177" s="61"/>
      <c r="D177" s="62"/>
      <c r="E177" s="60"/>
      <c r="F177" s="60"/>
      <c r="G177" s="61"/>
      <c r="H177" s="61"/>
      <c r="I177" s="62"/>
      <c r="J177" s="62"/>
      <c r="K177" s="63"/>
      <c r="L177" s="61"/>
      <c r="M177" s="55"/>
      <c r="N177" s="61"/>
      <c r="O177" s="61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5.75" customHeight="1" x14ac:dyDescent="0.3">
      <c r="A178" s="55"/>
      <c r="B178" s="61"/>
      <c r="C178" s="61"/>
      <c r="D178" s="62"/>
      <c r="E178" s="60"/>
      <c r="F178" s="60"/>
      <c r="G178" s="61"/>
      <c r="H178" s="61"/>
      <c r="I178" s="62"/>
      <c r="J178" s="62"/>
      <c r="K178" s="63"/>
      <c r="L178" s="61"/>
      <c r="M178" s="55"/>
      <c r="N178" s="61"/>
      <c r="O178" s="61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5.75" customHeight="1" x14ac:dyDescent="0.3">
      <c r="A179" s="55"/>
      <c r="B179" s="61"/>
      <c r="C179" s="61"/>
      <c r="D179" s="62"/>
      <c r="E179" s="60"/>
      <c r="F179" s="60"/>
      <c r="G179" s="61"/>
      <c r="H179" s="61"/>
      <c r="I179" s="62"/>
      <c r="J179" s="62"/>
      <c r="K179" s="63"/>
      <c r="L179" s="61"/>
      <c r="M179" s="55"/>
      <c r="N179" s="61"/>
      <c r="O179" s="61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5.75" customHeight="1" x14ac:dyDescent="0.3">
      <c r="A180" s="55"/>
      <c r="B180" s="61"/>
      <c r="C180" s="61"/>
      <c r="D180" s="62"/>
      <c r="E180" s="60"/>
      <c r="F180" s="60"/>
      <c r="G180" s="61"/>
      <c r="H180" s="61"/>
      <c r="I180" s="62"/>
      <c r="J180" s="62"/>
      <c r="K180" s="63"/>
      <c r="L180" s="61"/>
      <c r="M180" s="55"/>
      <c r="N180" s="61"/>
      <c r="O180" s="61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5.75" customHeight="1" x14ac:dyDescent="0.3">
      <c r="A181" s="55"/>
      <c r="B181" s="61"/>
      <c r="C181" s="61"/>
      <c r="D181" s="62"/>
      <c r="E181" s="60"/>
      <c r="F181" s="60"/>
      <c r="G181" s="61"/>
      <c r="H181" s="61"/>
      <c r="I181" s="62"/>
      <c r="J181" s="62"/>
      <c r="K181" s="63"/>
      <c r="L181" s="61"/>
      <c r="M181" s="55"/>
      <c r="N181" s="61"/>
      <c r="O181" s="61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5.75" customHeight="1" x14ac:dyDescent="0.3">
      <c r="A182" s="55"/>
      <c r="B182" s="61"/>
      <c r="C182" s="61"/>
      <c r="D182" s="62"/>
      <c r="E182" s="60"/>
      <c r="F182" s="60"/>
      <c r="G182" s="61"/>
      <c r="H182" s="61"/>
      <c r="I182" s="62"/>
      <c r="J182" s="62"/>
      <c r="K182" s="63"/>
      <c r="L182" s="61"/>
      <c r="M182" s="55"/>
      <c r="N182" s="61"/>
      <c r="O182" s="61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5.75" customHeight="1" x14ac:dyDescent="0.3">
      <c r="A183" s="55"/>
      <c r="B183" s="61"/>
      <c r="C183" s="61"/>
      <c r="D183" s="62"/>
      <c r="E183" s="60"/>
      <c r="F183" s="60"/>
      <c r="G183" s="61"/>
      <c r="H183" s="61"/>
      <c r="I183" s="62"/>
      <c r="J183" s="62"/>
      <c r="K183" s="63"/>
      <c r="L183" s="61"/>
      <c r="M183" s="55"/>
      <c r="N183" s="61"/>
      <c r="O183" s="61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5.75" customHeight="1" x14ac:dyDescent="0.3">
      <c r="A184" s="55"/>
      <c r="B184" s="61"/>
      <c r="C184" s="61"/>
      <c r="D184" s="62"/>
      <c r="E184" s="60"/>
      <c r="F184" s="60"/>
      <c r="G184" s="61"/>
      <c r="H184" s="61"/>
      <c r="I184" s="62"/>
      <c r="J184" s="62"/>
      <c r="K184" s="63"/>
      <c r="L184" s="61"/>
      <c r="M184" s="55"/>
      <c r="N184" s="61"/>
      <c r="O184" s="61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5.75" customHeight="1" x14ac:dyDescent="0.3">
      <c r="A185" s="55"/>
      <c r="B185" s="61"/>
      <c r="C185" s="61"/>
      <c r="D185" s="62"/>
      <c r="E185" s="60"/>
      <c r="F185" s="60"/>
      <c r="G185" s="61"/>
      <c r="H185" s="61"/>
      <c r="I185" s="62"/>
      <c r="J185" s="62"/>
      <c r="K185" s="63"/>
      <c r="L185" s="61"/>
      <c r="M185" s="55"/>
      <c r="N185" s="61"/>
      <c r="O185" s="61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5.75" customHeight="1" x14ac:dyDescent="0.3">
      <c r="A186" s="55"/>
      <c r="B186" s="61"/>
      <c r="C186" s="61"/>
      <c r="D186" s="62"/>
      <c r="E186" s="60"/>
      <c r="F186" s="60"/>
      <c r="G186" s="61"/>
      <c r="H186" s="61"/>
      <c r="I186" s="62"/>
      <c r="J186" s="62"/>
      <c r="K186" s="63"/>
      <c r="L186" s="61"/>
      <c r="M186" s="55"/>
      <c r="N186" s="61"/>
      <c r="O186" s="61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5.75" customHeight="1" x14ac:dyDescent="0.3">
      <c r="A187" s="55"/>
      <c r="B187" s="61"/>
      <c r="C187" s="61"/>
      <c r="D187" s="62"/>
      <c r="E187" s="60"/>
      <c r="F187" s="60"/>
      <c r="G187" s="61"/>
      <c r="H187" s="61"/>
      <c r="I187" s="62"/>
      <c r="J187" s="62"/>
      <c r="K187" s="63"/>
      <c r="L187" s="61"/>
      <c r="M187" s="55"/>
      <c r="N187" s="61"/>
      <c r="O187" s="61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5.75" customHeight="1" x14ac:dyDescent="0.3">
      <c r="A188" s="55"/>
      <c r="B188" s="61"/>
      <c r="C188" s="61"/>
      <c r="D188" s="62"/>
      <c r="E188" s="60"/>
      <c r="F188" s="60"/>
      <c r="G188" s="61"/>
      <c r="H188" s="61"/>
      <c r="I188" s="62"/>
      <c r="J188" s="62"/>
      <c r="K188" s="63"/>
      <c r="L188" s="61"/>
      <c r="M188" s="55"/>
      <c r="N188" s="61"/>
      <c r="O188" s="61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5.75" customHeight="1" x14ac:dyDescent="0.3">
      <c r="A189" s="55"/>
      <c r="B189" s="61"/>
      <c r="C189" s="61"/>
      <c r="D189" s="62"/>
      <c r="E189" s="60"/>
      <c r="F189" s="60"/>
      <c r="G189" s="61"/>
      <c r="H189" s="61"/>
      <c r="I189" s="62"/>
      <c r="J189" s="62"/>
      <c r="K189" s="63"/>
      <c r="L189" s="61"/>
      <c r="M189" s="55"/>
      <c r="N189" s="61"/>
      <c r="O189" s="61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5.75" customHeight="1" x14ac:dyDescent="0.3">
      <c r="A190" s="55"/>
      <c r="B190" s="61"/>
      <c r="C190" s="61"/>
      <c r="D190" s="62"/>
      <c r="E190" s="60"/>
      <c r="F190" s="60"/>
      <c r="G190" s="61"/>
      <c r="H190" s="61"/>
      <c r="I190" s="62"/>
      <c r="J190" s="62"/>
      <c r="K190" s="63"/>
      <c r="L190" s="61"/>
      <c r="M190" s="55"/>
      <c r="N190" s="61"/>
      <c r="O190" s="61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5.75" customHeight="1" x14ac:dyDescent="0.3">
      <c r="A191" s="55"/>
      <c r="B191" s="61"/>
      <c r="C191" s="61"/>
      <c r="D191" s="62"/>
      <c r="E191" s="60"/>
      <c r="F191" s="60"/>
      <c r="G191" s="61"/>
      <c r="H191" s="61"/>
      <c r="I191" s="62"/>
      <c r="J191" s="62"/>
      <c r="K191" s="63"/>
      <c r="L191" s="61"/>
      <c r="M191" s="55"/>
      <c r="N191" s="61"/>
      <c r="O191" s="61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5.75" customHeight="1" x14ac:dyDescent="0.3">
      <c r="A192" s="55"/>
      <c r="B192" s="61"/>
      <c r="C192" s="61"/>
      <c r="D192" s="62"/>
      <c r="E192" s="60"/>
      <c r="F192" s="60"/>
      <c r="G192" s="61"/>
      <c r="H192" s="61"/>
      <c r="I192" s="62"/>
      <c r="J192" s="62"/>
      <c r="K192" s="63"/>
      <c r="L192" s="61"/>
      <c r="M192" s="55"/>
      <c r="N192" s="61"/>
      <c r="O192" s="61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5.75" customHeight="1" x14ac:dyDescent="0.3">
      <c r="A193" s="55"/>
      <c r="B193" s="61"/>
      <c r="C193" s="61"/>
      <c r="D193" s="62"/>
      <c r="E193" s="60"/>
      <c r="F193" s="60"/>
      <c r="G193" s="61"/>
      <c r="H193" s="61"/>
      <c r="I193" s="62"/>
      <c r="J193" s="62"/>
      <c r="K193" s="63"/>
      <c r="L193" s="61"/>
      <c r="M193" s="55"/>
      <c r="N193" s="61"/>
      <c r="O193" s="61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5.75" customHeight="1" x14ac:dyDescent="0.3">
      <c r="A194" s="55"/>
      <c r="B194" s="61"/>
      <c r="C194" s="61"/>
      <c r="D194" s="62"/>
      <c r="E194" s="60"/>
      <c r="F194" s="60"/>
      <c r="G194" s="61"/>
      <c r="H194" s="61"/>
      <c r="I194" s="62"/>
      <c r="J194" s="62"/>
      <c r="K194" s="63"/>
      <c r="L194" s="61"/>
      <c r="M194" s="55"/>
      <c r="N194" s="61"/>
      <c r="O194" s="61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5.75" customHeight="1" x14ac:dyDescent="0.3">
      <c r="A195" s="55"/>
      <c r="B195" s="61"/>
      <c r="C195" s="61"/>
      <c r="D195" s="62"/>
      <c r="E195" s="60"/>
      <c r="F195" s="60"/>
      <c r="G195" s="61"/>
      <c r="H195" s="61"/>
      <c r="I195" s="62"/>
      <c r="J195" s="62"/>
      <c r="K195" s="63"/>
      <c r="L195" s="61"/>
      <c r="M195" s="55"/>
      <c r="N195" s="61"/>
      <c r="O195" s="61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5.75" customHeight="1" x14ac:dyDescent="0.3">
      <c r="A196" s="55"/>
      <c r="B196" s="61"/>
      <c r="C196" s="61"/>
      <c r="D196" s="62"/>
      <c r="E196" s="60"/>
      <c r="F196" s="60"/>
      <c r="G196" s="61"/>
      <c r="H196" s="61"/>
      <c r="I196" s="62"/>
      <c r="J196" s="62"/>
      <c r="K196" s="63"/>
      <c r="L196" s="61"/>
      <c r="M196" s="55"/>
      <c r="N196" s="61"/>
      <c r="O196" s="61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5.75" customHeight="1" x14ac:dyDescent="0.3">
      <c r="A197" s="55"/>
      <c r="B197" s="61"/>
      <c r="C197" s="61"/>
      <c r="D197" s="62"/>
      <c r="E197" s="60"/>
      <c r="F197" s="60"/>
      <c r="G197" s="61"/>
      <c r="H197" s="61"/>
      <c r="I197" s="62"/>
      <c r="J197" s="62"/>
      <c r="K197" s="63"/>
      <c r="L197" s="61"/>
      <c r="M197" s="55"/>
      <c r="N197" s="61"/>
      <c r="O197" s="61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5.75" customHeight="1" x14ac:dyDescent="0.3">
      <c r="A198" s="55"/>
      <c r="B198" s="61"/>
      <c r="C198" s="61"/>
      <c r="D198" s="62"/>
      <c r="E198" s="60"/>
      <c r="F198" s="60"/>
      <c r="G198" s="61"/>
      <c r="H198" s="61"/>
      <c r="I198" s="62"/>
      <c r="J198" s="62"/>
      <c r="K198" s="63"/>
      <c r="L198" s="61"/>
      <c r="M198" s="55"/>
      <c r="N198" s="61"/>
      <c r="O198" s="61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5.75" customHeight="1" x14ac:dyDescent="0.3">
      <c r="A199" s="55"/>
      <c r="B199" s="61"/>
      <c r="C199" s="61"/>
      <c r="D199" s="62"/>
      <c r="E199" s="60"/>
      <c r="F199" s="60"/>
      <c r="G199" s="61"/>
      <c r="H199" s="61"/>
      <c r="I199" s="62"/>
      <c r="J199" s="62"/>
      <c r="K199" s="63"/>
      <c r="L199" s="61"/>
      <c r="M199" s="55"/>
      <c r="N199" s="61"/>
      <c r="O199" s="61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5.75" customHeight="1" x14ac:dyDescent="0.3">
      <c r="A200" s="55"/>
      <c r="B200" s="61"/>
      <c r="C200" s="61"/>
      <c r="D200" s="62"/>
      <c r="E200" s="60"/>
      <c r="F200" s="60"/>
      <c r="G200" s="61"/>
      <c r="H200" s="61"/>
      <c r="I200" s="62"/>
      <c r="J200" s="62"/>
      <c r="K200" s="63"/>
      <c r="L200" s="61"/>
      <c r="M200" s="55"/>
      <c r="N200" s="61"/>
      <c r="O200" s="61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5.75" customHeight="1" x14ac:dyDescent="0.3">
      <c r="A201" s="55"/>
      <c r="B201" s="61"/>
      <c r="C201" s="61"/>
      <c r="D201" s="62"/>
      <c r="E201" s="60"/>
      <c r="F201" s="60"/>
      <c r="G201" s="61"/>
      <c r="H201" s="61"/>
      <c r="I201" s="62"/>
      <c r="J201" s="62"/>
      <c r="K201" s="63"/>
      <c r="L201" s="61"/>
      <c r="M201" s="55"/>
      <c r="N201" s="61"/>
      <c r="O201" s="61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5.75" customHeight="1" x14ac:dyDescent="0.3">
      <c r="A202" s="55"/>
      <c r="B202" s="61"/>
      <c r="C202" s="61"/>
      <c r="D202" s="62"/>
      <c r="E202" s="60"/>
      <c r="F202" s="60"/>
      <c r="G202" s="61"/>
      <c r="H202" s="61"/>
      <c r="I202" s="62"/>
      <c r="J202" s="62"/>
      <c r="K202" s="63"/>
      <c r="L202" s="61"/>
      <c r="M202" s="55"/>
      <c r="N202" s="61"/>
      <c r="O202" s="61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5.75" customHeight="1" x14ac:dyDescent="0.3">
      <c r="A203" s="55"/>
      <c r="B203" s="61"/>
      <c r="C203" s="61"/>
      <c r="D203" s="62"/>
      <c r="E203" s="60"/>
      <c r="F203" s="60"/>
      <c r="G203" s="61"/>
      <c r="H203" s="61"/>
      <c r="I203" s="62"/>
      <c r="J203" s="62"/>
      <c r="K203" s="63"/>
      <c r="L203" s="61"/>
      <c r="M203" s="55"/>
      <c r="N203" s="61"/>
      <c r="O203" s="61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5.75" customHeight="1" x14ac:dyDescent="0.3">
      <c r="A204" s="55"/>
      <c r="B204" s="61"/>
      <c r="C204" s="61"/>
      <c r="D204" s="62"/>
      <c r="E204" s="60"/>
      <c r="F204" s="60"/>
      <c r="G204" s="61"/>
      <c r="H204" s="61"/>
      <c r="I204" s="62"/>
      <c r="J204" s="62"/>
      <c r="K204" s="63"/>
      <c r="L204" s="61"/>
      <c r="M204" s="55"/>
      <c r="N204" s="61"/>
      <c r="O204" s="61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5.75" customHeight="1" x14ac:dyDescent="0.3">
      <c r="A205" s="55"/>
      <c r="B205" s="61"/>
      <c r="C205" s="61"/>
      <c r="D205" s="62"/>
      <c r="E205" s="60"/>
      <c r="F205" s="60"/>
      <c r="G205" s="61"/>
      <c r="H205" s="61"/>
      <c r="I205" s="62"/>
      <c r="J205" s="62"/>
      <c r="K205" s="63"/>
      <c r="L205" s="61"/>
      <c r="M205" s="55"/>
      <c r="N205" s="61"/>
      <c r="O205" s="61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5.75" customHeight="1" x14ac:dyDescent="0.3">
      <c r="A206" s="55"/>
      <c r="B206" s="61"/>
      <c r="C206" s="61"/>
      <c r="D206" s="62"/>
      <c r="E206" s="60"/>
      <c r="F206" s="60"/>
      <c r="G206" s="61"/>
      <c r="H206" s="61"/>
      <c r="I206" s="62"/>
      <c r="J206" s="62"/>
      <c r="K206" s="63"/>
      <c r="L206" s="61"/>
      <c r="M206" s="55"/>
      <c r="N206" s="61"/>
      <c r="O206" s="61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5.75" customHeight="1" x14ac:dyDescent="0.3">
      <c r="A207" s="55"/>
      <c r="B207" s="61"/>
      <c r="C207" s="61"/>
      <c r="D207" s="62"/>
      <c r="E207" s="60"/>
      <c r="F207" s="60"/>
      <c r="G207" s="61"/>
      <c r="H207" s="61"/>
      <c r="I207" s="62"/>
      <c r="J207" s="62"/>
      <c r="K207" s="63"/>
      <c r="L207" s="61"/>
      <c r="M207" s="55"/>
      <c r="N207" s="61"/>
      <c r="O207" s="61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5.75" customHeight="1" x14ac:dyDescent="0.3">
      <c r="A208" s="55"/>
      <c r="B208" s="61"/>
      <c r="C208" s="61"/>
      <c r="D208" s="62"/>
      <c r="E208" s="60"/>
      <c r="F208" s="60"/>
      <c r="G208" s="61"/>
      <c r="H208" s="61"/>
      <c r="I208" s="62"/>
      <c r="J208" s="62"/>
      <c r="K208" s="63"/>
      <c r="L208" s="61"/>
      <c r="M208" s="55"/>
      <c r="N208" s="61"/>
      <c r="O208" s="61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5.75" customHeight="1" x14ac:dyDescent="0.3">
      <c r="A209" s="55"/>
      <c r="B209" s="61"/>
      <c r="C209" s="61"/>
      <c r="D209" s="62"/>
      <c r="E209" s="60"/>
      <c r="F209" s="60"/>
      <c r="G209" s="61"/>
      <c r="H209" s="61"/>
      <c r="I209" s="62"/>
      <c r="J209" s="62"/>
      <c r="K209" s="63"/>
      <c r="L209" s="61"/>
      <c r="M209" s="55"/>
      <c r="N209" s="61"/>
      <c r="O209" s="61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5.75" customHeight="1" x14ac:dyDescent="0.3">
      <c r="A210" s="55"/>
      <c r="B210" s="61"/>
      <c r="C210" s="61"/>
      <c r="D210" s="62"/>
      <c r="E210" s="60"/>
      <c r="F210" s="60"/>
      <c r="G210" s="61"/>
      <c r="H210" s="61"/>
      <c r="I210" s="62"/>
      <c r="J210" s="62"/>
      <c r="K210" s="63"/>
      <c r="L210" s="61"/>
      <c r="M210" s="55"/>
      <c r="N210" s="61"/>
      <c r="O210" s="61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5.75" customHeight="1" x14ac:dyDescent="0.3">
      <c r="A211" s="55"/>
      <c r="B211" s="61"/>
      <c r="C211" s="61"/>
      <c r="D211" s="62"/>
      <c r="E211" s="60"/>
      <c r="F211" s="60"/>
      <c r="G211" s="61"/>
      <c r="H211" s="61"/>
      <c r="I211" s="62"/>
      <c r="J211" s="62"/>
      <c r="K211" s="63"/>
      <c r="L211" s="61"/>
      <c r="M211" s="55"/>
      <c r="N211" s="61"/>
      <c r="O211" s="61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5.75" customHeight="1" x14ac:dyDescent="0.3">
      <c r="A212" s="55"/>
      <c r="B212" s="61"/>
      <c r="C212" s="61"/>
      <c r="D212" s="62"/>
      <c r="E212" s="60"/>
      <c r="F212" s="60"/>
      <c r="G212" s="61"/>
      <c r="H212" s="61"/>
      <c r="I212" s="62"/>
      <c r="J212" s="62"/>
      <c r="K212" s="63"/>
      <c r="L212" s="61"/>
      <c r="M212" s="55"/>
      <c r="N212" s="61"/>
      <c r="O212" s="61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5.75" customHeight="1" x14ac:dyDescent="0.3">
      <c r="A213" s="55"/>
      <c r="B213" s="61"/>
      <c r="C213" s="61"/>
      <c r="D213" s="62"/>
      <c r="E213" s="60"/>
      <c r="F213" s="60"/>
      <c r="G213" s="61"/>
      <c r="H213" s="61"/>
      <c r="I213" s="62"/>
      <c r="J213" s="62"/>
      <c r="K213" s="63"/>
      <c r="L213" s="61"/>
      <c r="M213" s="55"/>
      <c r="N213" s="61"/>
      <c r="O213" s="61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5.75" customHeight="1" x14ac:dyDescent="0.3">
      <c r="A214" s="55"/>
      <c r="B214" s="61"/>
      <c r="C214" s="61"/>
      <c r="D214" s="62"/>
      <c r="E214" s="60"/>
      <c r="F214" s="60"/>
      <c r="G214" s="61"/>
      <c r="H214" s="61"/>
      <c r="I214" s="62"/>
      <c r="J214" s="62"/>
      <c r="K214" s="63"/>
      <c r="L214" s="61"/>
      <c r="M214" s="55"/>
      <c r="N214" s="61"/>
      <c r="O214" s="61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5.75" customHeight="1" x14ac:dyDescent="0.3">
      <c r="A215" s="55"/>
      <c r="B215" s="61"/>
      <c r="C215" s="61"/>
      <c r="D215" s="62"/>
      <c r="E215" s="60"/>
      <c r="F215" s="60"/>
      <c r="G215" s="61"/>
      <c r="H215" s="61"/>
      <c r="I215" s="62"/>
      <c r="J215" s="62"/>
      <c r="K215" s="63"/>
      <c r="L215" s="61"/>
      <c r="M215" s="55"/>
      <c r="N215" s="61"/>
      <c r="O215" s="61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5.75" customHeight="1" x14ac:dyDescent="0.3">
      <c r="A216" s="55"/>
      <c r="B216" s="61"/>
      <c r="C216" s="61"/>
      <c r="D216" s="62"/>
      <c r="E216" s="60"/>
      <c r="F216" s="60"/>
      <c r="G216" s="61"/>
      <c r="H216" s="61"/>
      <c r="I216" s="62"/>
      <c r="J216" s="62"/>
      <c r="K216" s="63"/>
      <c r="L216" s="61"/>
      <c r="M216" s="55"/>
      <c r="N216" s="61"/>
      <c r="O216" s="61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5.75" customHeight="1" x14ac:dyDescent="0.3">
      <c r="A217" s="55"/>
      <c r="B217" s="61"/>
      <c r="C217" s="61"/>
      <c r="D217" s="62"/>
      <c r="E217" s="60"/>
      <c r="F217" s="60"/>
      <c r="G217" s="61"/>
      <c r="H217" s="61"/>
      <c r="I217" s="62"/>
      <c r="J217" s="62"/>
      <c r="K217" s="63"/>
      <c r="L217" s="61"/>
      <c r="M217" s="55"/>
      <c r="N217" s="61"/>
      <c r="O217" s="61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5.75" customHeight="1" x14ac:dyDescent="0.3">
      <c r="A218" s="55"/>
      <c r="B218" s="61"/>
      <c r="C218" s="61"/>
      <c r="D218" s="62"/>
      <c r="E218" s="60"/>
      <c r="F218" s="60"/>
      <c r="G218" s="61"/>
      <c r="H218" s="61"/>
      <c r="I218" s="62"/>
      <c r="J218" s="62"/>
      <c r="K218" s="63"/>
      <c r="L218" s="61"/>
      <c r="M218" s="55"/>
      <c r="N218" s="61"/>
      <c r="O218" s="61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5.75" customHeight="1" x14ac:dyDescent="0.3">
      <c r="A219" s="55"/>
      <c r="B219" s="61"/>
      <c r="C219" s="61"/>
      <c r="D219" s="62"/>
      <c r="E219" s="60"/>
      <c r="F219" s="60"/>
      <c r="G219" s="61"/>
      <c r="H219" s="61"/>
      <c r="I219" s="62"/>
      <c r="J219" s="62"/>
      <c r="K219" s="63"/>
      <c r="L219" s="61"/>
      <c r="M219" s="55"/>
      <c r="N219" s="61"/>
      <c r="O219" s="61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5.75" customHeight="1" x14ac:dyDescent="0.3">
      <c r="A220" s="55"/>
      <c r="B220" s="61"/>
      <c r="C220" s="61"/>
      <c r="D220" s="62"/>
      <c r="E220" s="60"/>
      <c r="F220" s="60"/>
      <c r="G220" s="61"/>
      <c r="H220" s="61"/>
      <c r="I220" s="62"/>
      <c r="J220" s="62"/>
      <c r="K220" s="63"/>
      <c r="L220" s="61"/>
      <c r="M220" s="55"/>
      <c r="N220" s="61"/>
      <c r="O220" s="61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5.75" customHeight="1" x14ac:dyDescent="0.3">
      <c r="A221" s="55"/>
      <c r="B221" s="61"/>
      <c r="C221" s="61"/>
      <c r="D221" s="62"/>
      <c r="E221" s="60"/>
      <c r="F221" s="60"/>
      <c r="G221" s="61"/>
      <c r="H221" s="61"/>
      <c r="I221" s="62"/>
      <c r="J221" s="62"/>
      <c r="K221" s="63"/>
      <c r="L221" s="61"/>
      <c r="M221" s="55"/>
      <c r="N221" s="61"/>
      <c r="O221" s="61"/>
    </row>
    <row r="222" spans="1:35" ht="15.75" customHeight="1" x14ac:dyDescent="0.3">
      <c r="A222" s="55"/>
      <c r="B222" s="61"/>
      <c r="C222" s="61"/>
      <c r="D222" s="62"/>
      <c r="E222" s="60"/>
      <c r="F222" s="60"/>
      <c r="G222" s="61"/>
      <c r="H222" s="61"/>
      <c r="I222" s="62"/>
      <c r="J222" s="62"/>
      <c r="K222" s="63"/>
      <c r="L222" s="61"/>
      <c r="M222" s="55"/>
      <c r="N222" s="61"/>
      <c r="O222" s="61"/>
    </row>
    <row r="223" spans="1:35" ht="15.75" customHeight="1" x14ac:dyDescent="0.3">
      <c r="A223" s="55"/>
      <c r="B223" s="61"/>
      <c r="C223" s="61"/>
      <c r="D223" s="62"/>
      <c r="E223" s="60"/>
      <c r="F223" s="60"/>
      <c r="G223" s="61"/>
      <c r="H223" s="61"/>
      <c r="I223" s="62"/>
      <c r="J223" s="62"/>
      <c r="K223" s="63"/>
      <c r="L223" s="61"/>
      <c r="M223" s="55"/>
      <c r="N223" s="61"/>
      <c r="O223" s="61"/>
    </row>
    <row r="224" spans="1:35" ht="15.75" customHeight="1" x14ac:dyDescent="0.3">
      <c r="A224" s="55"/>
      <c r="B224" s="61"/>
      <c r="C224" s="61"/>
      <c r="D224" s="62"/>
      <c r="E224" s="60"/>
      <c r="F224" s="60"/>
      <c r="G224" s="61"/>
      <c r="H224" s="61"/>
      <c r="I224" s="62"/>
      <c r="J224" s="62"/>
      <c r="K224" s="63"/>
      <c r="L224" s="61"/>
      <c r="M224" s="55"/>
      <c r="N224" s="61"/>
      <c r="O224" s="61"/>
    </row>
    <row r="225" spans="1:15" ht="15.75" customHeight="1" x14ac:dyDescent="0.3">
      <c r="A225" s="55"/>
      <c r="B225" s="61"/>
      <c r="C225" s="61"/>
      <c r="D225" s="62"/>
      <c r="E225" s="60"/>
      <c r="F225" s="60"/>
      <c r="G225" s="61"/>
      <c r="H225" s="61"/>
      <c r="I225" s="62"/>
      <c r="J225" s="62"/>
      <c r="K225" s="63"/>
      <c r="L225" s="61"/>
      <c r="M225" s="55"/>
      <c r="N225" s="61"/>
      <c r="O225" s="61"/>
    </row>
    <row r="226" spans="1:15" ht="15.75" customHeight="1" x14ac:dyDescent="0.3">
      <c r="A226" s="55"/>
      <c r="B226" s="61"/>
      <c r="C226" s="61"/>
      <c r="D226" s="62"/>
      <c r="E226" s="60"/>
      <c r="F226" s="60"/>
      <c r="G226" s="61"/>
      <c r="H226" s="61"/>
      <c r="I226" s="62"/>
      <c r="J226" s="62"/>
      <c r="K226" s="63"/>
      <c r="L226" s="61"/>
      <c r="M226" s="55"/>
      <c r="N226" s="61"/>
      <c r="O226" s="61"/>
    </row>
    <row r="227" spans="1:15" ht="15.75" customHeight="1" x14ac:dyDescent="0.3">
      <c r="A227" s="55"/>
      <c r="B227" s="61"/>
      <c r="C227" s="61"/>
      <c r="D227" s="62"/>
      <c r="E227" s="60"/>
      <c r="F227" s="60"/>
      <c r="G227" s="61"/>
      <c r="H227" s="61"/>
      <c r="I227" s="62"/>
      <c r="J227" s="62"/>
      <c r="K227" s="63"/>
      <c r="L227" s="61"/>
      <c r="M227" s="55"/>
      <c r="N227" s="61"/>
      <c r="O227" s="61"/>
    </row>
    <row r="228" spans="1:15" ht="15.75" customHeight="1" x14ac:dyDescent="0.3">
      <c r="A228" s="55"/>
      <c r="B228" s="61"/>
      <c r="C228" s="61"/>
      <c r="D228" s="62"/>
      <c r="E228" s="60"/>
      <c r="F228" s="60"/>
      <c r="G228" s="61"/>
      <c r="H228" s="61"/>
      <c r="I228" s="62"/>
      <c r="J228" s="62"/>
      <c r="K228" s="63"/>
      <c r="L228" s="61"/>
      <c r="M228" s="55"/>
      <c r="N228" s="61"/>
      <c r="O228" s="61"/>
    </row>
    <row r="229" spans="1:15" ht="15.75" customHeight="1" x14ac:dyDescent="0.3">
      <c r="A229" s="55"/>
      <c r="B229" s="61"/>
      <c r="C229" s="61"/>
      <c r="D229" s="62"/>
      <c r="E229" s="60"/>
      <c r="F229" s="60"/>
      <c r="G229" s="61"/>
      <c r="H229" s="61"/>
      <c r="I229" s="62"/>
      <c r="J229" s="62"/>
      <c r="K229" s="63"/>
      <c r="L229" s="61"/>
      <c r="M229" s="55"/>
      <c r="N229" s="61"/>
      <c r="O229" s="61"/>
    </row>
    <row r="230" spans="1:15" ht="15.75" customHeight="1" x14ac:dyDescent="0.3">
      <c r="A230" s="55"/>
      <c r="B230" s="61"/>
      <c r="C230" s="61"/>
      <c r="D230" s="62"/>
      <c r="E230" s="60"/>
      <c r="F230" s="60"/>
      <c r="G230" s="61"/>
      <c r="H230" s="61"/>
      <c r="I230" s="62"/>
      <c r="J230" s="62"/>
      <c r="K230" s="63"/>
      <c r="L230" s="61"/>
      <c r="M230" s="55"/>
      <c r="N230" s="61"/>
      <c r="O230" s="61"/>
    </row>
    <row r="231" spans="1:15" ht="15.75" customHeight="1" x14ac:dyDescent="0.3">
      <c r="A231" s="55"/>
      <c r="B231" s="61"/>
      <c r="C231" s="61"/>
      <c r="D231" s="62"/>
      <c r="E231" s="60"/>
      <c r="F231" s="60"/>
      <c r="G231" s="61"/>
      <c r="H231" s="61"/>
      <c r="I231" s="62"/>
      <c r="J231" s="62"/>
      <c r="K231" s="63"/>
      <c r="L231" s="61"/>
      <c r="M231" s="55"/>
      <c r="N231" s="61"/>
      <c r="O231" s="61"/>
    </row>
    <row r="232" spans="1:15" ht="15.75" customHeight="1" x14ac:dyDescent="0.3">
      <c r="A232" s="55"/>
      <c r="B232" s="61"/>
      <c r="C232" s="61"/>
      <c r="D232" s="62"/>
      <c r="E232" s="60"/>
      <c r="F232" s="60"/>
      <c r="G232" s="61"/>
      <c r="H232" s="61"/>
      <c r="I232" s="62"/>
      <c r="J232" s="62"/>
      <c r="K232" s="63"/>
      <c r="L232" s="61"/>
      <c r="M232" s="55"/>
      <c r="N232" s="61"/>
      <c r="O232" s="61"/>
    </row>
    <row r="233" spans="1:15" ht="15.75" customHeight="1" x14ac:dyDescent="0.3">
      <c r="A233" s="55"/>
      <c r="B233" s="61"/>
      <c r="C233" s="61"/>
      <c r="D233" s="62"/>
      <c r="E233" s="60"/>
      <c r="F233" s="60"/>
      <c r="G233" s="61"/>
      <c r="H233" s="61"/>
      <c r="I233" s="62"/>
      <c r="J233" s="62"/>
      <c r="K233" s="63"/>
      <c r="L233" s="61"/>
      <c r="M233" s="55"/>
      <c r="N233" s="61"/>
      <c r="O233" s="61"/>
    </row>
    <row r="234" spans="1:15" ht="15.75" customHeight="1" x14ac:dyDescent="0.3">
      <c r="A234" s="55"/>
      <c r="B234" s="61"/>
      <c r="C234" s="61"/>
      <c r="D234" s="62"/>
      <c r="E234" s="60"/>
      <c r="F234" s="60"/>
      <c r="G234" s="61"/>
      <c r="H234" s="61"/>
      <c r="I234" s="62"/>
      <c r="J234" s="62"/>
      <c r="K234" s="63"/>
      <c r="L234" s="61"/>
      <c r="M234" s="55"/>
      <c r="N234" s="61"/>
      <c r="O234" s="61"/>
    </row>
    <row r="235" spans="1:15" ht="15.75" customHeight="1" x14ac:dyDescent="0.3">
      <c r="A235" s="55"/>
      <c r="B235" s="61"/>
      <c r="C235" s="61"/>
      <c r="D235" s="62"/>
      <c r="E235" s="60"/>
      <c r="F235" s="60"/>
      <c r="G235" s="61"/>
      <c r="H235" s="61"/>
      <c r="I235" s="62"/>
      <c r="J235" s="62"/>
      <c r="K235" s="63"/>
      <c r="L235" s="61"/>
      <c r="M235" s="55"/>
      <c r="N235" s="61"/>
      <c r="O235" s="61"/>
    </row>
    <row r="236" spans="1:15" ht="15.75" customHeight="1" x14ac:dyDescent="0.3">
      <c r="A236" s="55"/>
      <c r="B236" s="61"/>
      <c r="C236" s="61"/>
      <c r="D236" s="62"/>
      <c r="E236" s="60"/>
      <c r="F236" s="60"/>
      <c r="G236" s="61"/>
      <c r="H236" s="61"/>
      <c r="I236" s="62"/>
      <c r="J236" s="62"/>
      <c r="K236" s="63"/>
      <c r="L236" s="61"/>
      <c r="M236" s="55"/>
      <c r="N236" s="61"/>
      <c r="O236" s="61"/>
    </row>
    <row r="237" spans="1:15" ht="15.75" customHeight="1" x14ac:dyDescent="0.3">
      <c r="A237" s="55"/>
      <c r="B237" s="61"/>
      <c r="C237" s="61"/>
      <c r="D237" s="62"/>
      <c r="E237" s="60"/>
      <c r="F237" s="60"/>
      <c r="G237" s="61"/>
      <c r="H237" s="61"/>
      <c r="I237" s="62"/>
      <c r="J237" s="62"/>
      <c r="K237" s="63"/>
      <c r="L237" s="61"/>
      <c r="M237" s="55"/>
      <c r="N237" s="61"/>
      <c r="O237" s="61"/>
    </row>
    <row r="238" spans="1:15" ht="15.75" customHeight="1" x14ac:dyDescent="0.3">
      <c r="A238" s="55"/>
      <c r="B238" s="61"/>
      <c r="C238" s="61"/>
      <c r="D238" s="62"/>
      <c r="E238" s="60"/>
      <c r="F238" s="60"/>
      <c r="G238" s="61"/>
      <c r="H238" s="61"/>
      <c r="I238" s="62"/>
      <c r="J238" s="62"/>
      <c r="K238" s="63"/>
      <c r="L238" s="61"/>
      <c r="M238" s="55"/>
      <c r="N238" s="61"/>
      <c r="O238" s="61"/>
    </row>
    <row r="239" spans="1:15" ht="15.75" customHeight="1" x14ac:dyDescent="0.3">
      <c r="A239" s="55"/>
      <c r="B239" s="61"/>
      <c r="C239" s="61"/>
      <c r="D239" s="62"/>
      <c r="E239" s="60"/>
      <c r="F239" s="60"/>
      <c r="G239" s="61"/>
      <c r="H239" s="61"/>
      <c r="I239" s="62"/>
      <c r="J239" s="62"/>
      <c r="K239" s="63"/>
      <c r="L239" s="61"/>
      <c r="M239" s="55"/>
      <c r="N239" s="61"/>
      <c r="O239" s="61"/>
    </row>
    <row r="240" spans="1:15" ht="15.75" customHeight="1" x14ac:dyDescent="0.3">
      <c r="A240" s="55"/>
      <c r="B240" s="61"/>
      <c r="C240" s="61"/>
      <c r="D240" s="62"/>
      <c r="E240" s="60"/>
      <c r="F240" s="60"/>
      <c r="G240" s="61"/>
      <c r="H240" s="61"/>
      <c r="I240" s="62"/>
      <c r="J240" s="62"/>
      <c r="K240" s="63"/>
      <c r="L240" s="61"/>
      <c r="M240" s="55"/>
      <c r="N240" s="61"/>
      <c r="O240" s="61"/>
    </row>
    <row r="241" spans="1:15" ht="15.75" customHeight="1" x14ac:dyDescent="0.3">
      <c r="A241" s="55"/>
      <c r="B241" s="61"/>
      <c r="C241" s="61"/>
      <c r="D241" s="62"/>
      <c r="E241" s="60"/>
      <c r="F241" s="60"/>
      <c r="G241" s="61"/>
      <c r="H241" s="61"/>
      <c r="I241" s="62"/>
      <c r="J241" s="62"/>
      <c r="K241" s="63"/>
      <c r="L241" s="61"/>
      <c r="M241" s="55"/>
      <c r="N241" s="61"/>
      <c r="O241" s="61"/>
    </row>
    <row r="242" spans="1:15" ht="15.75" customHeight="1" x14ac:dyDescent="0.3">
      <c r="A242" s="55"/>
      <c r="B242" s="61"/>
      <c r="C242" s="61"/>
      <c r="D242" s="62"/>
      <c r="E242" s="60"/>
      <c r="F242" s="60"/>
      <c r="G242" s="61"/>
      <c r="H242" s="61"/>
      <c r="I242" s="62"/>
      <c r="J242" s="62"/>
      <c r="K242" s="63"/>
      <c r="L242" s="61"/>
      <c r="M242" s="55"/>
      <c r="N242" s="61"/>
      <c r="O242" s="61"/>
    </row>
    <row r="243" spans="1:15" ht="15.75" customHeight="1" x14ac:dyDescent="0.3">
      <c r="A243" s="55"/>
      <c r="B243" s="61"/>
      <c r="C243" s="61"/>
      <c r="D243" s="62"/>
      <c r="E243" s="60"/>
      <c r="F243" s="60"/>
      <c r="G243" s="61"/>
      <c r="H243" s="61"/>
      <c r="I243" s="62"/>
      <c r="J243" s="62"/>
      <c r="K243" s="63"/>
      <c r="L243" s="61"/>
      <c r="M243" s="55"/>
      <c r="N243" s="61"/>
      <c r="O243" s="61"/>
    </row>
    <row r="244" spans="1:15" ht="15.75" customHeight="1" x14ac:dyDescent="0.3">
      <c r="A244" s="55"/>
      <c r="B244" s="61"/>
      <c r="C244" s="61"/>
      <c r="D244" s="62"/>
      <c r="E244" s="60"/>
      <c r="F244" s="60"/>
      <c r="G244" s="61"/>
      <c r="H244" s="61"/>
      <c r="I244" s="62"/>
      <c r="J244" s="62"/>
      <c r="K244" s="63"/>
      <c r="L244" s="61"/>
      <c r="M244" s="55"/>
      <c r="N244" s="61"/>
      <c r="O244" s="61"/>
    </row>
    <row r="245" spans="1:15" ht="15.75" customHeight="1" x14ac:dyDescent="0.3">
      <c r="A245" s="55"/>
      <c r="B245" s="61"/>
      <c r="C245" s="61"/>
      <c r="D245" s="62"/>
      <c r="E245" s="60"/>
      <c r="F245" s="60"/>
      <c r="G245" s="61"/>
      <c r="H245" s="61"/>
      <c r="I245" s="62"/>
      <c r="J245" s="62"/>
      <c r="K245" s="63"/>
      <c r="L245" s="61"/>
      <c r="M245" s="55"/>
      <c r="N245" s="61"/>
      <c r="O245" s="61"/>
    </row>
    <row r="246" spans="1:15" ht="15.75" customHeight="1" x14ac:dyDescent="0.3">
      <c r="A246" s="55"/>
      <c r="B246" s="61"/>
      <c r="C246" s="61"/>
      <c r="D246" s="62"/>
      <c r="E246" s="60"/>
      <c r="F246" s="60"/>
      <c r="G246" s="61"/>
      <c r="H246" s="61"/>
      <c r="I246" s="62"/>
      <c r="J246" s="62"/>
      <c r="K246" s="63"/>
      <c r="L246" s="61"/>
      <c r="M246" s="55"/>
      <c r="N246" s="61"/>
      <c r="O246" s="61"/>
    </row>
    <row r="247" spans="1:15" ht="15.75" customHeight="1" x14ac:dyDescent="0.3">
      <c r="A247" s="55"/>
      <c r="B247" s="61"/>
      <c r="C247" s="61"/>
      <c r="D247" s="62"/>
      <c r="E247" s="60"/>
      <c r="F247" s="60"/>
      <c r="G247" s="61"/>
      <c r="H247" s="61"/>
      <c r="I247" s="62"/>
      <c r="J247" s="62"/>
      <c r="K247" s="63"/>
      <c r="L247" s="61"/>
      <c r="M247" s="55"/>
      <c r="N247" s="61"/>
      <c r="O247" s="61"/>
    </row>
    <row r="248" spans="1:15" ht="15.75" customHeight="1" x14ac:dyDescent="0.3">
      <c r="A248" s="55"/>
      <c r="B248" s="61"/>
      <c r="C248" s="61"/>
      <c r="D248" s="62"/>
      <c r="E248" s="60"/>
      <c r="F248" s="60"/>
      <c r="G248" s="61"/>
      <c r="H248" s="61"/>
      <c r="I248" s="62"/>
      <c r="J248" s="62"/>
      <c r="K248" s="63"/>
      <c r="L248" s="61"/>
      <c r="M248" s="55"/>
      <c r="N248" s="61"/>
      <c r="O248" s="61"/>
    </row>
    <row r="249" spans="1:15" ht="15.75" customHeight="1" x14ac:dyDescent="0.3">
      <c r="A249" s="55"/>
      <c r="B249" s="61"/>
      <c r="C249" s="61"/>
      <c r="D249" s="62"/>
      <c r="E249" s="60"/>
      <c r="F249" s="60"/>
      <c r="G249" s="61"/>
      <c r="H249" s="61"/>
      <c r="I249" s="62"/>
      <c r="J249" s="62"/>
      <c r="K249" s="63"/>
      <c r="L249" s="61"/>
      <c r="M249" s="55"/>
      <c r="N249" s="61"/>
      <c r="O249" s="61"/>
    </row>
    <row r="250" spans="1:15" ht="15.75" customHeight="1" x14ac:dyDescent="0.3">
      <c r="A250" s="55"/>
      <c r="B250" s="61"/>
      <c r="C250" s="61"/>
      <c r="D250" s="62"/>
      <c r="E250" s="60"/>
      <c r="F250" s="60"/>
      <c r="G250" s="61"/>
      <c r="H250" s="61"/>
      <c r="I250" s="62"/>
      <c r="J250" s="62"/>
      <c r="K250" s="63"/>
      <c r="L250" s="61"/>
      <c r="M250" s="55"/>
      <c r="N250" s="61"/>
      <c r="O250" s="61"/>
    </row>
    <row r="251" spans="1:15" ht="15.75" customHeight="1" x14ac:dyDescent="0.3">
      <c r="A251" s="55"/>
      <c r="B251" s="61"/>
      <c r="C251" s="61"/>
      <c r="D251" s="62"/>
      <c r="E251" s="60"/>
      <c r="F251" s="60"/>
      <c r="G251" s="61"/>
      <c r="H251" s="61"/>
      <c r="I251" s="62"/>
      <c r="J251" s="62"/>
      <c r="K251" s="63"/>
      <c r="L251" s="61"/>
      <c r="M251" s="55"/>
      <c r="N251" s="61"/>
      <c r="O251" s="61"/>
    </row>
    <row r="252" spans="1:15" ht="15.75" customHeight="1" x14ac:dyDescent="0.3">
      <c r="A252" s="55"/>
      <c r="B252" s="61"/>
      <c r="C252" s="61"/>
      <c r="D252" s="62"/>
      <c r="E252" s="60"/>
      <c r="F252" s="60"/>
      <c r="G252" s="61"/>
      <c r="H252" s="61"/>
      <c r="I252" s="62"/>
      <c r="J252" s="62"/>
      <c r="K252" s="63"/>
      <c r="L252" s="61"/>
      <c r="M252" s="55"/>
      <c r="N252" s="61"/>
      <c r="O252" s="61"/>
    </row>
    <row r="253" spans="1:15" ht="15.75" customHeight="1" x14ac:dyDescent="0.3">
      <c r="A253" s="55"/>
      <c r="B253" s="61"/>
      <c r="C253" s="61"/>
      <c r="D253" s="62"/>
      <c r="E253" s="60"/>
      <c r="F253" s="60"/>
      <c r="G253" s="61"/>
      <c r="H253" s="61"/>
      <c r="I253" s="62"/>
      <c r="J253" s="62"/>
      <c r="K253" s="63"/>
      <c r="L253" s="61"/>
      <c r="M253" s="55"/>
      <c r="N253" s="61"/>
      <c r="O253" s="61"/>
    </row>
    <row r="254" spans="1:15" ht="15.75" customHeight="1" x14ac:dyDescent="0.3">
      <c r="A254" s="55"/>
      <c r="B254" s="61"/>
      <c r="C254" s="61"/>
      <c r="D254" s="62"/>
      <c r="E254" s="60"/>
      <c r="F254" s="60"/>
      <c r="G254" s="61"/>
      <c r="H254" s="61"/>
      <c r="I254" s="62"/>
      <c r="J254" s="62"/>
      <c r="K254" s="63"/>
      <c r="L254" s="61"/>
      <c r="M254" s="55"/>
      <c r="N254" s="61"/>
      <c r="O254" s="61"/>
    </row>
    <row r="255" spans="1:15" ht="15.75" customHeight="1" x14ac:dyDescent="0.3">
      <c r="A255" s="55"/>
      <c r="B255" s="61"/>
      <c r="C255" s="61"/>
      <c r="D255" s="62"/>
      <c r="E255" s="60"/>
      <c r="F255" s="60"/>
      <c r="G255" s="61"/>
      <c r="H255" s="61"/>
      <c r="I255" s="62"/>
      <c r="J255" s="62"/>
      <c r="K255" s="63"/>
      <c r="L255" s="61"/>
      <c r="M255" s="55"/>
      <c r="N255" s="61"/>
      <c r="O255" s="61"/>
    </row>
    <row r="256" spans="1:15" ht="15.75" customHeight="1" x14ac:dyDescent="0.3">
      <c r="A256" s="55"/>
      <c r="B256" s="61"/>
      <c r="C256" s="61"/>
      <c r="D256" s="62"/>
      <c r="E256" s="60"/>
      <c r="F256" s="60"/>
      <c r="G256" s="61"/>
      <c r="H256" s="61"/>
      <c r="I256" s="62"/>
      <c r="J256" s="62"/>
      <c r="K256" s="63"/>
      <c r="L256" s="61"/>
      <c r="M256" s="55"/>
      <c r="N256" s="61"/>
      <c r="O256" s="61"/>
    </row>
    <row r="257" spans="1:15" ht="15.75" customHeight="1" x14ac:dyDescent="0.3">
      <c r="A257" s="55"/>
      <c r="B257" s="61"/>
      <c r="C257" s="61"/>
      <c r="D257" s="62"/>
      <c r="E257" s="60"/>
      <c r="F257" s="60"/>
      <c r="G257" s="61"/>
      <c r="H257" s="61"/>
      <c r="I257" s="62"/>
      <c r="J257" s="62"/>
      <c r="K257" s="63"/>
      <c r="L257" s="61"/>
      <c r="M257" s="55"/>
      <c r="N257" s="61"/>
      <c r="O257" s="61"/>
    </row>
    <row r="258" spans="1:15" ht="15.75" customHeight="1" x14ac:dyDescent="0.3">
      <c r="A258" s="55"/>
      <c r="B258" s="61"/>
      <c r="C258" s="61"/>
      <c r="D258" s="62"/>
      <c r="E258" s="60"/>
      <c r="F258" s="60"/>
      <c r="G258" s="61"/>
      <c r="H258" s="61"/>
      <c r="I258" s="62"/>
      <c r="J258" s="62"/>
      <c r="K258" s="63"/>
      <c r="L258" s="61"/>
      <c r="M258" s="55"/>
      <c r="N258" s="61"/>
      <c r="O258" s="61"/>
    </row>
    <row r="259" spans="1:15" ht="15.75" customHeight="1" x14ac:dyDescent="0.3">
      <c r="D259" s="66"/>
      <c r="I259" s="66"/>
      <c r="J259" s="66"/>
    </row>
    <row r="260" spans="1:15" ht="15.75" customHeight="1" x14ac:dyDescent="0.3">
      <c r="D260" s="66"/>
      <c r="I260" s="66"/>
      <c r="J260" s="66"/>
    </row>
    <row r="261" spans="1:15" ht="15.75" customHeight="1" x14ac:dyDescent="0.3">
      <c r="D261" s="66"/>
      <c r="I261" s="66"/>
      <c r="J261" s="66"/>
    </row>
    <row r="262" spans="1:15" ht="15.75" customHeight="1" x14ac:dyDescent="0.3">
      <c r="D262" s="66"/>
      <c r="I262" s="66"/>
      <c r="J262" s="66"/>
    </row>
    <row r="263" spans="1:15" ht="15.75" customHeight="1" x14ac:dyDescent="0.3">
      <c r="D263" s="66"/>
      <c r="I263" s="66"/>
      <c r="J263" s="66"/>
    </row>
    <row r="264" spans="1:15" ht="15.75" customHeight="1" x14ac:dyDescent="0.3">
      <c r="D264" s="66"/>
      <c r="I264" s="66"/>
      <c r="J264" s="66"/>
    </row>
    <row r="265" spans="1:15" ht="15.75" customHeight="1" x14ac:dyDescent="0.3">
      <c r="D265" s="66"/>
      <c r="I265" s="66"/>
      <c r="J265" s="66"/>
    </row>
    <row r="266" spans="1:15" ht="15.75" customHeight="1" x14ac:dyDescent="0.3">
      <c r="D266" s="66"/>
      <c r="I266" s="66"/>
      <c r="J266" s="66"/>
    </row>
    <row r="267" spans="1:15" ht="15.75" customHeight="1" x14ac:dyDescent="0.3">
      <c r="D267" s="66"/>
      <c r="I267" s="66"/>
      <c r="J267" s="66"/>
    </row>
    <row r="268" spans="1:15" ht="15.75" customHeight="1" x14ac:dyDescent="0.3">
      <c r="D268" s="66"/>
      <c r="I268" s="66"/>
      <c r="J268" s="66"/>
    </row>
    <row r="269" spans="1:15" ht="15.75" customHeight="1" x14ac:dyDescent="0.3">
      <c r="D269" s="66"/>
      <c r="I269" s="66"/>
      <c r="J269" s="66"/>
    </row>
    <row r="270" spans="1:15" ht="15.75" customHeight="1" x14ac:dyDescent="0.3">
      <c r="D270" s="66"/>
      <c r="I270" s="66"/>
      <c r="J270" s="66"/>
    </row>
    <row r="271" spans="1:15" ht="15.75" customHeight="1" x14ac:dyDescent="0.3">
      <c r="D271" s="66"/>
      <c r="I271" s="66"/>
      <c r="J271" s="66"/>
    </row>
    <row r="272" spans="1:15" ht="15.75" customHeight="1" x14ac:dyDescent="0.3">
      <c r="D272" s="66"/>
      <c r="I272" s="66"/>
      <c r="J272" s="66"/>
    </row>
    <row r="273" spans="4:10" ht="15.75" customHeight="1" x14ac:dyDescent="0.3">
      <c r="D273" s="66"/>
      <c r="I273" s="66"/>
      <c r="J273" s="66"/>
    </row>
    <row r="274" spans="4:10" ht="15.75" customHeight="1" x14ac:dyDescent="0.3">
      <c r="D274" s="66"/>
      <c r="I274" s="66"/>
      <c r="J274" s="66"/>
    </row>
    <row r="275" spans="4:10" ht="15.75" customHeight="1" x14ac:dyDescent="0.3">
      <c r="D275" s="66"/>
      <c r="I275" s="66"/>
      <c r="J275" s="66"/>
    </row>
    <row r="276" spans="4:10" ht="15.75" customHeight="1" x14ac:dyDescent="0.3">
      <c r="D276" s="66"/>
      <c r="I276" s="66"/>
      <c r="J276" s="66"/>
    </row>
    <row r="277" spans="4:10" ht="15.75" customHeight="1" x14ac:dyDescent="0.3">
      <c r="D277" s="66"/>
      <c r="I277" s="66"/>
      <c r="J277" s="66"/>
    </row>
    <row r="278" spans="4:10" ht="15.75" customHeight="1" x14ac:dyDescent="0.3">
      <c r="D278" s="66"/>
      <c r="I278" s="66"/>
      <c r="J278" s="66"/>
    </row>
    <row r="279" spans="4:10" ht="15.75" customHeight="1" x14ac:dyDescent="0.3">
      <c r="D279" s="66"/>
      <c r="I279" s="66"/>
      <c r="J279" s="66"/>
    </row>
    <row r="280" spans="4:10" ht="15.75" customHeight="1" x14ac:dyDescent="0.3">
      <c r="D280" s="66"/>
      <c r="I280" s="66"/>
      <c r="J280" s="66"/>
    </row>
    <row r="281" spans="4:10" ht="15.75" customHeight="1" x14ac:dyDescent="0.3">
      <c r="D281" s="66"/>
      <c r="I281" s="66"/>
      <c r="J281" s="66"/>
    </row>
    <row r="282" spans="4:10" ht="15.75" customHeight="1" x14ac:dyDescent="0.3">
      <c r="D282" s="66"/>
      <c r="I282" s="66"/>
      <c r="J282" s="66"/>
    </row>
    <row r="283" spans="4:10" ht="15.75" customHeight="1" x14ac:dyDescent="0.3">
      <c r="D283" s="66"/>
      <c r="I283" s="66"/>
      <c r="J283" s="66"/>
    </row>
    <row r="284" spans="4:10" ht="15.75" customHeight="1" x14ac:dyDescent="0.3">
      <c r="D284" s="66"/>
      <c r="I284" s="66"/>
      <c r="J284" s="66"/>
    </row>
    <row r="285" spans="4:10" ht="15.75" customHeight="1" x14ac:dyDescent="0.3">
      <c r="D285" s="66"/>
      <c r="I285" s="66"/>
      <c r="J285" s="66"/>
    </row>
    <row r="286" spans="4:10" ht="15.75" customHeight="1" x14ac:dyDescent="0.3">
      <c r="D286" s="66"/>
      <c r="I286" s="66"/>
      <c r="J286" s="66"/>
    </row>
    <row r="287" spans="4:10" ht="15.75" customHeight="1" x14ac:dyDescent="0.3">
      <c r="D287" s="66"/>
      <c r="I287" s="66"/>
      <c r="J287" s="66"/>
    </row>
    <row r="288" spans="4:10" ht="15.75" customHeight="1" x14ac:dyDescent="0.3">
      <c r="D288" s="66"/>
      <c r="I288" s="66"/>
      <c r="J288" s="66"/>
    </row>
    <row r="289" spans="4:10" ht="15.75" customHeight="1" x14ac:dyDescent="0.3">
      <c r="D289" s="66"/>
      <c r="I289" s="66"/>
      <c r="J289" s="66"/>
    </row>
    <row r="290" spans="4:10" ht="15.75" customHeight="1" x14ac:dyDescent="0.3">
      <c r="D290" s="66"/>
      <c r="I290" s="66"/>
      <c r="J290" s="66"/>
    </row>
    <row r="291" spans="4:10" ht="15.75" customHeight="1" x14ac:dyDescent="0.3">
      <c r="D291" s="66"/>
      <c r="I291" s="66"/>
      <c r="J291" s="66"/>
    </row>
    <row r="292" spans="4:10" ht="15.75" customHeight="1" x14ac:dyDescent="0.3">
      <c r="D292" s="66"/>
      <c r="I292" s="66"/>
      <c r="J292" s="66"/>
    </row>
    <row r="293" spans="4:10" ht="15.75" customHeight="1" x14ac:dyDescent="0.3">
      <c r="D293" s="66"/>
      <c r="I293" s="66"/>
      <c r="J293" s="66"/>
    </row>
    <row r="294" spans="4:10" ht="15.75" customHeight="1" x14ac:dyDescent="0.3">
      <c r="D294" s="66"/>
      <c r="I294" s="66"/>
      <c r="J294" s="66"/>
    </row>
    <row r="295" spans="4:10" ht="15.75" customHeight="1" x14ac:dyDescent="0.3">
      <c r="D295" s="66"/>
      <c r="I295" s="66"/>
      <c r="J295" s="66"/>
    </row>
    <row r="296" spans="4:10" ht="15.75" customHeight="1" x14ac:dyDescent="0.3">
      <c r="D296" s="66"/>
      <c r="I296" s="66"/>
      <c r="J296" s="66"/>
    </row>
    <row r="297" spans="4:10" ht="15.75" customHeight="1" x14ac:dyDescent="0.3">
      <c r="D297" s="66"/>
      <c r="I297" s="66"/>
      <c r="J297" s="66"/>
    </row>
    <row r="298" spans="4:10" ht="15.75" customHeight="1" x14ac:dyDescent="0.3">
      <c r="D298" s="66"/>
      <c r="I298" s="66"/>
      <c r="J298" s="66"/>
    </row>
    <row r="299" spans="4:10" ht="15.75" customHeight="1" x14ac:dyDescent="0.3">
      <c r="D299" s="66"/>
      <c r="I299" s="66"/>
      <c r="J299" s="66"/>
    </row>
    <row r="300" spans="4:10" ht="15.75" customHeight="1" x14ac:dyDescent="0.3">
      <c r="D300" s="66"/>
      <c r="I300" s="66"/>
      <c r="J300" s="66"/>
    </row>
    <row r="301" spans="4:10" ht="15.75" customHeight="1" x14ac:dyDescent="0.3">
      <c r="D301" s="66"/>
      <c r="I301" s="66"/>
      <c r="J301" s="66"/>
    </row>
    <row r="302" spans="4:10" ht="15.75" customHeight="1" x14ac:dyDescent="0.3">
      <c r="D302" s="66"/>
      <c r="I302" s="66"/>
      <c r="J302" s="66"/>
    </row>
    <row r="303" spans="4:10" ht="15.75" customHeight="1" x14ac:dyDescent="0.3">
      <c r="D303" s="66"/>
      <c r="I303" s="66"/>
      <c r="J303" s="66"/>
    </row>
    <row r="304" spans="4:10" ht="15.75" customHeight="1" x14ac:dyDescent="0.3">
      <c r="D304" s="66"/>
      <c r="I304" s="66"/>
      <c r="J304" s="66"/>
    </row>
    <row r="305" spans="4:10" ht="15.75" customHeight="1" x14ac:dyDescent="0.3">
      <c r="D305" s="66"/>
      <c r="I305" s="66"/>
      <c r="J305" s="66"/>
    </row>
    <row r="306" spans="4:10" ht="15.75" customHeight="1" x14ac:dyDescent="0.3">
      <c r="D306" s="66"/>
      <c r="I306" s="66"/>
      <c r="J306" s="66"/>
    </row>
    <row r="307" spans="4:10" ht="15.75" customHeight="1" x14ac:dyDescent="0.3">
      <c r="D307" s="66"/>
      <c r="I307" s="66"/>
      <c r="J307" s="66"/>
    </row>
    <row r="308" spans="4:10" ht="15.75" customHeight="1" x14ac:dyDescent="0.3">
      <c r="D308" s="66"/>
      <c r="I308" s="66"/>
      <c r="J308" s="66"/>
    </row>
    <row r="309" spans="4:10" ht="15.75" customHeight="1" x14ac:dyDescent="0.3">
      <c r="D309" s="66"/>
      <c r="I309" s="66"/>
      <c r="J309" s="66"/>
    </row>
    <row r="310" spans="4:10" ht="15.75" customHeight="1" x14ac:dyDescent="0.3">
      <c r="D310" s="66"/>
      <c r="I310" s="66"/>
      <c r="J310" s="66"/>
    </row>
    <row r="311" spans="4:10" ht="15.75" customHeight="1" x14ac:dyDescent="0.3">
      <c r="D311" s="66"/>
      <c r="I311" s="66"/>
      <c r="J311" s="66"/>
    </row>
    <row r="312" spans="4:10" ht="15.75" customHeight="1" x14ac:dyDescent="0.3">
      <c r="D312" s="66"/>
      <c r="I312" s="66"/>
      <c r="J312" s="66"/>
    </row>
    <row r="313" spans="4:10" ht="15.75" customHeight="1" x14ac:dyDescent="0.3">
      <c r="D313" s="66"/>
      <c r="I313" s="66"/>
      <c r="J313" s="66"/>
    </row>
    <row r="314" spans="4:10" ht="15.75" customHeight="1" x14ac:dyDescent="0.3">
      <c r="D314" s="66"/>
      <c r="I314" s="66"/>
      <c r="J314" s="66"/>
    </row>
    <row r="315" spans="4:10" ht="15.75" customHeight="1" x14ac:dyDescent="0.3">
      <c r="D315" s="66"/>
      <c r="I315" s="66"/>
      <c r="J315" s="66"/>
    </row>
    <row r="316" spans="4:10" ht="15.75" customHeight="1" x14ac:dyDescent="0.3">
      <c r="D316" s="66"/>
      <c r="I316" s="66"/>
      <c r="J316" s="66"/>
    </row>
    <row r="317" spans="4:10" ht="15.75" customHeight="1" x14ac:dyDescent="0.3">
      <c r="D317" s="66"/>
      <c r="I317" s="66"/>
      <c r="J317" s="66"/>
    </row>
    <row r="318" spans="4:10" ht="15.75" customHeight="1" x14ac:dyDescent="0.3">
      <c r="D318" s="66"/>
      <c r="I318" s="66"/>
      <c r="J318" s="66"/>
    </row>
    <row r="319" spans="4:10" ht="15.75" customHeight="1" x14ac:dyDescent="0.3">
      <c r="D319" s="66"/>
      <c r="I319" s="66"/>
      <c r="J319" s="66"/>
    </row>
    <row r="320" spans="4:10" ht="15.75" customHeight="1" x14ac:dyDescent="0.3">
      <c r="D320" s="66"/>
      <c r="I320" s="66"/>
      <c r="J320" s="66"/>
    </row>
    <row r="321" spans="4:10" ht="15.75" customHeight="1" x14ac:dyDescent="0.3">
      <c r="D321" s="66"/>
      <c r="I321" s="66"/>
      <c r="J321" s="66"/>
    </row>
    <row r="322" spans="4:10" ht="15.75" customHeight="1" x14ac:dyDescent="0.3">
      <c r="D322" s="66"/>
      <c r="I322" s="66"/>
      <c r="J322" s="66"/>
    </row>
    <row r="323" spans="4:10" ht="15.75" customHeight="1" x14ac:dyDescent="0.3">
      <c r="D323" s="66"/>
      <c r="I323" s="66"/>
      <c r="J323" s="66"/>
    </row>
    <row r="324" spans="4:10" ht="15.75" customHeight="1" x14ac:dyDescent="0.3">
      <c r="D324" s="66"/>
      <c r="I324" s="66"/>
      <c r="J324" s="66"/>
    </row>
    <row r="325" spans="4:10" ht="15.75" customHeight="1" x14ac:dyDescent="0.3">
      <c r="D325" s="66"/>
      <c r="I325" s="66"/>
      <c r="J325" s="66"/>
    </row>
    <row r="326" spans="4:10" ht="15.75" customHeight="1" x14ac:dyDescent="0.3">
      <c r="D326" s="66"/>
      <c r="I326" s="66"/>
      <c r="J326" s="66"/>
    </row>
    <row r="327" spans="4:10" ht="15.75" customHeight="1" x14ac:dyDescent="0.3">
      <c r="D327" s="66"/>
      <c r="I327" s="66"/>
      <c r="J327" s="66"/>
    </row>
    <row r="328" spans="4:10" ht="15.75" customHeight="1" x14ac:dyDescent="0.3">
      <c r="D328" s="66"/>
      <c r="I328" s="66"/>
      <c r="J328" s="66"/>
    </row>
    <row r="329" spans="4:10" ht="15.75" customHeight="1" x14ac:dyDescent="0.3">
      <c r="D329" s="66"/>
      <c r="I329" s="66"/>
      <c r="J329" s="66"/>
    </row>
    <row r="330" spans="4:10" ht="15.75" customHeight="1" x14ac:dyDescent="0.3">
      <c r="D330" s="66"/>
      <c r="I330" s="66"/>
      <c r="J330" s="66"/>
    </row>
    <row r="331" spans="4:10" ht="15.75" customHeight="1" x14ac:dyDescent="0.3">
      <c r="D331" s="66"/>
      <c r="I331" s="66"/>
      <c r="J331" s="66"/>
    </row>
    <row r="332" spans="4:10" ht="15.75" customHeight="1" x14ac:dyDescent="0.3">
      <c r="D332" s="66"/>
      <c r="I332" s="66"/>
      <c r="J332" s="66"/>
    </row>
    <row r="333" spans="4:10" ht="15.75" customHeight="1" x14ac:dyDescent="0.3">
      <c r="D333" s="66"/>
      <c r="I333" s="66"/>
      <c r="J333" s="66"/>
    </row>
    <row r="334" spans="4:10" ht="15.75" customHeight="1" x14ac:dyDescent="0.3">
      <c r="D334" s="66"/>
      <c r="I334" s="66"/>
      <c r="J334" s="66"/>
    </row>
    <row r="335" spans="4:10" ht="15.75" customHeight="1" x14ac:dyDescent="0.3">
      <c r="D335" s="66"/>
      <c r="I335" s="66"/>
      <c r="J335" s="66"/>
    </row>
    <row r="336" spans="4:10" ht="15.75" customHeight="1" x14ac:dyDescent="0.3">
      <c r="D336" s="66"/>
      <c r="I336" s="66"/>
      <c r="J336" s="66"/>
    </row>
    <row r="337" spans="4:10" ht="15.75" customHeight="1" x14ac:dyDescent="0.3">
      <c r="D337" s="66"/>
      <c r="I337" s="66"/>
      <c r="J337" s="66"/>
    </row>
    <row r="338" spans="4:10" ht="15.75" customHeight="1" x14ac:dyDescent="0.3">
      <c r="D338" s="66"/>
      <c r="I338" s="66"/>
      <c r="J338" s="66"/>
    </row>
    <row r="339" spans="4:10" ht="15.75" customHeight="1" x14ac:dyDescent="0.3">
      <c r="D339" s="66"/>
      <c r="I339" s="66"/>
      <c r="J339" s="66"/>
    </row>
    <row r="340" spans="4:10" ht="15.75" customHeight="1" x14ac:dyDescent="0.3">
      <c r="D340" s="66"/>
      <c r="I340" s="66"/>
      <c r="J340" s="66"/>
    </row>
    <row r="341" spans="4:10" ht="15.75" customHeight="1" x14ac:dyDescent="0.3">
      <c r="D341" s="66"/>
      <c r="I341" s="66"/>
      <c r="J341" s="66"/>
    </row>
    <row r="342" spans="4:10" ht="15.75" customHeight="1" x14ac:dyDescent="0.3">
      <c r="D342" s="66"/>
      <c r="I342" s="66"/>
      <c r="J342" s="66"/>
    </row>
    <row r="343" spans="4:10" ht="15.75" customHeight="1" x14ac:dyDescent="0.3">
      <c r="D343" s="66"/>
      <c r="I343" s="66"/>
      <c r="J343" s="66"/>
    </row>
    <row r="344" spans="4:10" ht="15.75" customHeight="1" x14ac:dyDescent="0.3">
      <c r="D344" s="66"/>
      <c r="I344" s="66"/>
      <c r="J344" s="66"/>
    </row>
    <row r="345" spans="4:10" ht="15.75" customHeight="1" x14ac:dyDescent="0.3">
      <c r="D345" s="66"/>
      <c r="I345" s="66"/>
      <c r="J345" s="66"/>
    </row>
    <row r="346" spans="4:10" ht="15.75" customHeight="1" x14ac:dyDescent="0.3">
      <c r="D346" s="66"/>
      <c r="I346" s="66"/>
      <c r="J346" s="66"/>
    </row>
    <row r="347" spans="4:10" ht="15.75" customHeight="1" x14ac:dyDescent="0.3">
      <c r="D347" s="66"/>
      <c r="I347" s="66"/>
      <c r="J347" s="66"/>
    </row>
    <row r="348" spans="4:10" ht="15.75" customHeight="1" x14ac:dyDescent="0.3">
      <c r="D348" s="66"/>
      <c r="I348" s="66"/>
      <c r="J348" s="66"/>
    </row>
    <row r="349" spans="4:10" ht="15.75" customHeight="1" x14ac:dyDescent="0.3">
      <c r="D349" s="66"/>
      <c r="I349" s="66"/>
      <c r="J349" s="66"/>
    </row>
    <row r="350" spans="4:10" ht="15.75" customHeight="1" x14ac:dyDescent="0.3">
      <c r="D350" s="66"/>
      <c r="I350" s="66"/>
      <c r="J350" s="66"/>
    </row>
    <row r="351" spans="4:10" ht="15.75" customHeight="1" x14ac:dyDescent="0.3">
      <c r="D351" s="66"/>
      <c r="I351" s="66"/>
      <c r="J351" s="66"/>
    </row>
    <row r="352" spans="4:10" ht="15.75" customHeight="1" x14ac:dyDescent="0.3">
      <c r="D352" s="66"/>
      <c r="I352" s="66"/>
      <c r="J352" s="66"/>
    </row>
    <row r="353" spans="4:10" ht="15.75" customHeight="1" x14ac:dyDescent="0.3">
      <c r="D353" s="66"/>
      <c r="I353" s="66"/>
      <c r="J353" s="66"/>
    </row>
    <row r="354" spans="4:10" ht="15.75" customHeight="1" x14ac:dyDescent="0.3">
      <c r="D354" s="66"/>
      <c r="I354" s="66"/>
      <c r="J354" s="66"/>
    </row>
    <row r="355" spans="4:10" ht="15.75" customHeight="1" x14ac:dyDescent="0.3">
      <c r="D355" s="66"/>
      <c r="I355" s="66"/>
      <c r="J355" s="66"/>
    </row>
    <row r="356" spans="4:10" ht="15.75" customHeight="1" x14ac:dyDescent="0.3">
      <c r="D356" s="66"/>
      <c r="I356" s="66"/>
      <c r="J356" s="66"/>
    </row>
    <row r="357" spans="4:10" ht="15.75" customHeight="1" x14ac:dyDescent="0.3">
      <c r="D357" s="66"/>
      <c r="I357" s="66"/>
      <c r="J357" s="66"/>
    </row>
    <row r="358" spans="4:10" ht="15.75" customHeight="1" x14ac:dyDescent="0.3">
      <c r="D358" s="66"/>
      <c r="I358" s="66"/>
      <c r="J358" s="66"/>
    </row>
    <row r="359" spans="4:10" ht="15.75" customHeight="1" x14ac:dyDescent="0.3">
      <c r="D359" s="66"/>
      <c r="I359" s="66"/>
      <c r="J359" s="66"/>
    </row>
    <row r="360" spans="4:10" ht="15.75" customHeight="1" x14ac:dyDescent="0.3">
      <c r="D360" s="66"/>
      <c r="I360" s="66"/>
      <c r="J360" s="66"/>
    </row>
    <row r="361" spans="4:10" ht="15.75" customHeight="1" x14ac:dyDescent="0.3">
      <c r="D361" s="66"/>
      <c r="I361" s="66"/>
      <c r="J361" s="66"/>
    </row>
    <row r="362" spans="4:10" ht="15.75" customHeight="1" x14ac:dyDescent="0.3">
      <c r="D362" s="66"/>
      <c r="I362" s="66"/>
      <c r="J362" s="66"/>
    </row>
    <row r="363" spans="4:10" ht="15.75" customHeight="1" x14ac:dyDescent="0.3">
      <c r="D363" s="66"/>
      <c r="I363" s="66"/>
      <c r="J363" s="66"/>
    </row>
    <row r="364" spans="4:10" ht="15.75" customHeight="1" x14ac:dyDescent="0.3">
      <c r="D364" s="66"/>
      <c r="I364" s="66"/>
      <c r="J364" s="66"/>
    </row>
    <row r="365" spans="4:10" ht="15.75" customHeight="1" x14ac:dyDescent="0.3">
      <c r="D365" s="66"/>
      <c r="I365" s="66"/>
      <c r="J365" s="66"/>
    </row>
    <row r="366" spans="4:10" ht="15.75" customHeight="1" x14ac:dyDescent="0.3">
      <c r="D366" s="66"/>
      <c r="I366" s="66"/>
      <c r="J366" s="66"/>
    </row>
    <row r="367" spans="4:10" ht="15.75" customHeight="1" x14ac:dyDescent="0.3">
      <c r="D367" s="66"/>
      <c r="I367" s="66"/>
      <c r="J367" s="66"/>
    </row>
    <row r="368" spans="4:10" ht="15.75" customHeight="1" x14ac:dyDescent="0.3">
      <c r="D368" s="66"/>
      <c r="I368" s="66"/>
      <c r="J368" s="66"/>
    </row>
    <row r="369" spans="4:10" ht="15.75" customHeight="1" x14ac:dyDescent="0.3">
      <c r="D369" s="66"/>
      <c r="I369" s="66"/>
      <c r="J369" s="66"/>
    </row>
    <row r="370" spans="4:10" ht="15.75" customHeight="1" x14ac:dyDescent="0.3">
      <c r="D370" s="66"/>
      <c r="I370" s="66"/>
      <c r="J370" s="66"/>
    </row>
    <row r="371" spans="4:10" ht="15.75" customHeight="1" x14ac:dyDescent="0.3">
      <c r="D371" s="66"/>
      <c r="I371" s="66"/>
      <c r="J371" s="66"/>
    </row>
    <row r="372" spans="4:10" ht="15.75" customHeight="1" x14ac:dyDescent="0.3">
      <c r="D372" s="66"/>
      <c r="I372" s="66"/>
      <c r="J372" s="66"/>
    </row>
    <row r="373" spans="4:10" ht="15.75" customHeight="1" x14ac:dyDescent="0.3">
      <c r="D373" s="66"/>
      <c r="I373" s="66"/>
      <c r="J373" s="66"/>
    </row>
    <row r="374" spans="4:10" ht="15.75" customHeight="1" x14ac:dyDescent="0.3">
      <c r="D374" s="66"/>
      <c r="I374" s="66"/>
      <c r="J374" s="66"/>
    </row>
    <row r="375" spans="4:10" ht="15.75" customHeight="1" x14ac:dyDescent="0.3">
      <c r="D375" s="66"/>
      <c r="I375" s="66"/>
      <c r="J375" s="66"/>
    </row>
    <row r="376" spans="4:10" ht="15.75" customHeight="1" x14ac:dyDescent="0.3">
      <c r="D376" s="66"/>
      <c r="I376" s="66"/>
      <c r="J376" s="66"/>
    </row>
    <row r="377" spans="4:10" ht="15.75" customHeight="1" x14ac:dyDescent="0.3">
      <c r="D377" s="66"/>
      <c r="I377" s="66"/>
      <c r="J377" s="66"/>
    </row>
    <row r="378" spans="4:10" ht="15.75" customHeight="1" x14ac:dyDescent="0.3">
      <c r="D378" s="66"/>
      <c r="I378" s="66"/>
      <c r="J378" s="66"/>
    </row>
    <row r="379" spans="4:10" ht="15.75" customHeight="1" x14ac:dyDescent="0.3">
      <c r="D379" s="66"/>
      <c r="I379" s="66"/>
      <c r="J379" s="66"/>
    </row>
    <row r="380" spans="4:10" ht="15.75" customHeight="1" x14ac:dyDescent="0.3">
      <c r="D380" s="66"/>
      <c r="I380" s="66"/>
      <c r="J380" s="66"/>
    </row>
    <row r="381" spans="4:10" ht="15.75" customHeight="1" x14ac:dyDescent="0.3">
      <c r="D381" s="66"/>
      <c r="I381" s="66"/>
      <c r="J381" s="66"/>
    </row>
    <row r="382" spans="4:10" ht="15.75" customHeight="1" x14ac:dyDescent="0.3">
      <c r="D382" s="66"/>
      <c r="I382" s="66"/>
      <c r="J382" s="66"/>
    </row>
    <row r="383" spans="4:10" ht="15.75" customHeight="1" x14ac:dyDescent="0.3">
      <c r="D383" s="66"/>
      <c r="I383" s="66"/>
      <c r="J383" s="66"/>
    </row>
    <row r="384" spans="4:10" ht="15.75" customHeight="1" x14ac:dyDescent="0.3">
      <c r="D384" s="66"/>
      <c r="I384" s="66"/>
      <c r="J384" s="66"/>
    </row>
    <row r="385" spans="4:10" ht="15.75" customHeight="1" x14ac:dyDescent="0.3">
      <c r="D385" s="66"/>
      <c r="I385" s="66"/>
      <c r="J385" s="66"/>
    </row>
    <row r="386" spans="4:10" ht="15.75" customHeight="1" x14ac:dyDescent="0.3">
      <c r="D386" s="66"/>
      <c r="I386" s="66"/>
      <c r="J386" s="66"/>
    </row>
    <row r="387" spans="4:10" ht="15.75" customHeight="1" x14ac:dyDescent="0.3">
      <c r="D387" s="66"/>
      <c r="I387" s="66"/>
      <c r="J387" s="66"/>
    </row>
    <row r="388" spans="4:10" ht="15.75" customHeight="1" x14ac:dyDescent="0.3">
      <c r="D388" s="66"/>
      <c r="I388" s="66"/>
      <c r="J388" s="66"/>
    </row>
    <row r="389" spans="4:10" ht="15.75" customHeight="1" x14ac:dyDescent="0.3">
      <c r="D389" s="66"/>
      <c r="I389" s="66"/>
      <c r="J389" s="66"/>
    </row>
    <row r="390" spans="4:10" ht="15.75" customHeight="1" x14ac:dyDescent="0.3">
      <c r="D390" s="66"/>
      <c r="I390" s="66"/>
      <c r="J390" s="66"/>
    </row>
    <row r="391" spans="4:10" ht="15.75" customHeight="1" x14ac:dyDescent="0.3">
      <c r="D391" s="66"/>
      <c r="I391" s="66"/>
      <c r="J391" s="66"/>
    </row>
    <row r="392" spans="4:10" ht="15.75" customHeight="1" x14ac:dyDescent="0.3">
      <c r="D392" s="66"/>
      <c r="I392" s="66"/>
      <c r="J392" s="66"/>
    </row>
    <row r="393" spans="4:10" ht="15.75" customHeight="1" x14ac:dyDescent="0.3">
      <c r="D393" s="66"/>
      <c r="I393" s="66"/>
      <c r="J393" s="66"/>
    </row>
    <row r="394" spans="4:10" ht="15.75" customHeight="1" x14ac:dyDescent="0.3">
      <c r="D394" s="66"/>
      <c r="I394" s="66"/>
      <c r="J394" s="66"/>
    </row>
    <row r="395" spans="4:10" ht="15.75" customHeight="1" x14ac:dyDescent="0.3">
      <c r="D395" s="66"/>
      <c r="I395" s="66"/>
      <c r="J395" s="66"/>
    </row>
    <row r="396" spans="4:10" ht="15.75" customHeight="1" x14ac:dyDescent="0.3">
      <c r="D396" s="66"/>
      <c r="I396" s="66"/>
      <c r="J396" s="66"/>
    </row>
    <row r="397" spans="4:10" ht="15.75" customHeight="1" x14ac:dyDescent="0.3">
      <c r="D397" s="66"/>
      <c r="I397" s="66"/>
      <c r="J397" s="66"/>
    </row>
    <row r="398" spans="4:10" ht="15.75" customHeight="1" x14ac:dyDescent="0.3">
      <c r="D398" s="66"/>
      <c r="I398" s="66"/>
      <c r="J398" s="66"/>
    </row>
    <row r="399" spans="4:10" ht="15.75" customHeight="1" x14ac:dyDescent="0.3">
      <c r="D399" s="66"/>
      <c r="I399" s="66"/>
      <c r="J399" s="66"/>
    </row>
    <row r="400" spans="4:10" ht="15.75" customHeight="1" x14ac:dyDescent="0.3">
      <c r="D400" s="66"/>
      <c r="I400" s="66"/>
      <c r="J400" s="66"/>
    </row>
    <row r="401" spans="4:10" ht="15.75" customHeight="1" x14ac:dyDescent="0.3">
      <c r="D401" s="66"/>
      <c r="I401" s="66"/>
      <c r="J401" s="66"/>
    </row>
    <row r="402" spans="4:10" ht="15.75" customHeight="1" x14ac:dyDescent="0.3">
      <c r="D402" s="66"/>
      <c r="I402" s="66"/>
      <c r="J402" s="66"/>
    </row>
    <row r="403" spans="4:10" ht="15.75" customHeight="1" x14ac:dyDescent="0.3">
      <c r="D403" s="66"/>
      <c r="I403" s="66"/>
      <c r="J403" s="66"/>
    </row>
    <row r="404" spans="4:10" ht="15.75" customHeight="1" x14ac:dyDescent="0.3">
      <c r="D404" s="66"/>
      <c r="I404" s="66"/>
      <c r="J404" s="66"/>
    </row>
    <row r="405" spans="4:10" ht="15.75" customHeight="1" x14ac:dyDescent="0.3">
      <c r="D405" s="66"/>
      <c r="I405" s="66"/>
      <c r="J405" s="66"/>
    </row>
    <row r="406" spans="4:10" ht="15.75" customHeight="1" x14ac:dyDescent="0.3">
      <c r="D406" s="66"/>
      <c r="I406" s="66"/>
      <c r="J406" s="66"/>
    </row>
    <row r="407" spans="4:10" ht="15.75" customHeight="1" x14ac:dyDescent="0.3">
      <c r="D407" s="66"/>
      <c r="I407" s="66"/>
      <c r="J407" s="66"/>
    </row>
    <row r="408" spans="4:10" ht="15.75" customHeight="1" x14ac:dyDescent="0.3">
      <c r="D408" s="66"/>
      <c r="I408" s="66"/>
      <c r="J408" s="66"/>
    </row>
    <row r="409" spans="4:10" ht="15.75" customHeight="1" x14ac:dyDescent="0.3">
      <c r="D409" s="66"/>
      <c r="I409" s="66"/>
      <c r="J409" s="66"/>
    </row>
    <row r="410" spans="4:10" ht="15.75" customHeight="1" x14ac:dyDescent="0.3">
      <c r="D410" s="66"/>
      <c r="I410" s="66"/>
      <c r="J410" s="66"/>
    </row>
    <row r="411" spans="4:10" ht="15.75" customHeight="1" x14ac:dyDescent="0.3">
      <c r="D411" s="66"/>
      <c r="I411" s="66"/>
      <c r="J411" s="66"/>
    </row>
    <row r="412" spans="4:10" ht="15.75" customHeight="1" x14ac:dyDescent="0.3">
      <c r="D412" s="66"/>
      <c r="I412" s="66"/>
      <c r="J412" s="66"/>
    </row>
    <row r="413" spans="4:10" ht="15.75" customHeight="1" x14ac:dyDescent="0.3">
      <c r="D413" s="66"/>
      <c r="I413" s="66"/>
      <c r="J413" s="66"/>
    </row>
    <row r="414" spans="4:10" ht="15.75" customHeight="1" x14ac:dyDescent="0.3">
      <c r="D414" s="66"/>
      <c r="I414" s="66"/>
      <c r="J414" s="66"/>
    </row>
    <row r="415" spans="4:10" ht="15.75" customHeight="1" x14ac:dyDescent="0.3">
      <c r="D415" s="66"/>
      <c r="I415" s="66"/>
      <c r="J415" s="66"/>
    </row>
    <row r="416" spans="4:10" ht="15.75" customHeight="1" x14ac:dyDescent="0.3">
      <c r="D416" s="66"/>
      <c r="I416" s="66"/>
      <c r="J416" s="66"/>
    </row>
    <row r="417" spans="4:10" ht="15.75" customHeight="1" x14ac:dyDescent="0.3">
      <c r="D417" s="66"/>
      <c r="I417" s="66"/>
      <c r="J417" s="66"/>
    </row>
    <row r="418" spans="4:10" ht="15.75" customHeight="1" x14ac:dyDescent="0.3">
      <c r="D418" s="66"/>
      <c r="I418" s="66"/>
      <c r="J418" s="66"/>
    </row>
    <row r="419" spans="4:10" ht="15.75" customHeight="1" x14ac:dyDescent="0.3">
      <c r="D419" s="66"/>
      <c r="I419" s="66"/>
      <c r="J419" s="66"/>
    </row>
    <row r="420" spans="4:10" ht="15.75" customHeight="1" x14ac:dyDescent="0.3">
      <c r="D420" s="66"/>
      <c r="I420" s="66"/>
      <c r="J420" s="66"/>
    </row>
    <row r="421" spans="4:10" ht="15.75" customHeight="1" x14ac:dyDescent="0.3">
      <c r="D421" s="66"/>
      <c r="I421" s="66"/>
      <c r="J421" s="66"/>
    </row>
    <row r="422" spans="4:10" ht="15.75" customHeight="1" x14ac:dyDescent="0.3">
      <c r="D422" s="66"/>
      <c r="I422" s="66"/>
      <c r="J422" s="66"/>
    </row>
    <row r="423" spans="4:10" ht="15.75" customHeight="1" x14ac:dyDescent="0.3">
      <c r="D423" s="66"/>
      <c r="I423" s="66"/>
      <c r="J423" s="66"/>
    </row>
    <row r="424" spans="4:10" ht="15.75" customHeight="1" x14ac:dyDescent="0.3">
      <c r="D424" s="66"/>
      <c r="I424" s="66"/>
      <c r="J424" s="66"/>
    </row>
    <row r="425" spans="4:10" ht="15.75" customHeight="1" x14ac:dyDescent="0.3">
      <c r="D425" s="66"/>
      <c r="I425" s="66"/>
      <c r="J425" s="66"/>
    </row>
    <row r="426" spans="4:10" ht="15.75" customHeight="1" x14ac:dyDescent="0.3">
      <c r="D426" s="66"/>
      <c r="I426" s="66"/>
      <c r="J426" s="66"/>
    </row>
    <row r="427" spans="4:10" ht="15.75" customHeight="1" x14ac:dyDescent="0.3">
      <c r="D427" s="66"/>
      <c r="I427" s="66"/>
      <c r="J427" s="66"/>
    </row>
    <row r="428" spans="4:10" ht="15.75" customHeight="1" x14ac:dyDescent="0.3">
      <c r="D428" s="66"/>
      <c r="I428" s="66"/>
      <c r="J428" s="66"/>
    </row>
    <row r="429" spans="4:10" ht="15.75" customHeight="1" x14ac:dyDescent="0.3">
      <c r="D429" s="66"/>
      <c r="I429" s="66"/>
      <c r="J429" s="66"/>
    </row>
    <row r="430" spans="4:10" ht="15.75" customHeight="1" x14ac:dyDescent="0.3">
      <c r="D430" s="66"/>
      <c r="I430" s="66"/>
      <c r="J430" s="66"/>
    </row>
    <row r="431" spans="4:10" ht="15.75" customHeight="1" x14ac:dyDescent="0.3">
      <c r="D431" s="66"/>
      <c r="I431" s="66"/>
      <c r="J431" s="66"/>
    </row>
    <row r="432" spans="4:10" ht="15.75" customHeight="1" x14ac:dyDescent="0.3">
      <c r="D432" s="66"/>
      <c r="I432" s="66"/>
      <c r="J432" s="66"/>
    </row>
    <row r="433" spans="4:10" ht="15.75" customHeight="1" x14ac:dyDescent="0.3">
      <c r="D433" s="66"/>
      <c r="I433" s="66"/>
      <c r="J433" s="66"/>
    </row>
    <row r="434" spans="4:10" ht="15.75" customHeight="1" x14ac:dyDescent="0.3">
      <c r="D434" s="66"/>
      <c r="I434" s="66"/>
      <c r="J434" s="66"/>
    </row>
    <row r="435" spans="4:10" ht="15.75" customHeight="1" x14ac:dyDescent="0.3">
      <c r="D435" s="66"/>
      <c r="I435" s="66"/>
      <c r="J435" s="66"/>
    </row>
    <row r="436" spans="4:10" ht="15.75" customHeight="1" x14ac:dyDescent="0.3">
      <c r="D436" s="66"/>
      <c r="I436" s="66"/>
      <c r="J436" s="66"/>
    </row>
    <row r="437" spans="4:10" ht="15.75" customHeight="1" x14ac:dyDescent="0.3">
      <c r="D437" s="66"/>
      <c r="I437" s="66"/>
      <c r="J437" s="66"/>
    </row>
    <row r="438" spans="4:10" ht="15.75" customHeight="1" x14ac:dyDescent="0.3">
      <c r="D438" s="66"/>
      <c r="I438" s="66"/>
      <c r="J438" s="66"/>
    </row>
    <row r="439" spans="4:10" ht="15.75" customHeight="1" x14ac:dyDescent="0.3">
      <c r="D439" s="66"/>
      <c r="I439" s="66"/>
      <c r="J439" s="66"/>
    </row>
    <row r="440" spans="4:10" ht="15.75" customHeight="1" x14ac:dyDescent="0.3">
      <c r="D440" s="66"/>
      <c r="I440" s="66"/>
      <c r="J440" s="66"/>
    </row>
    <row r="441" spans="4:10" ht="15.75" customHeight="1" x14ac:dyDescent="0.3">
      <c r="D441" s="66"/>
      <c r="I441" s="66"/>
      <c r="J441" s="66"/>
    </row>
    <row r="442" spans="4:10" ht="15.75" customHeight="1" x14ac:dyDescent="0.3">
      <c r="D442" s="66"/>
      <c r="I442" s="66"/>
      <c r="J442" s="66"/>
    </row>
    <row r="443" spans="4:10" ht="15.75" customHeight="1" x14ac:dyDescent="0.3">
      <c r="D443" s="66"/>
      <c r="I443" s="66"/>
      <c r="J443" s="66"/>
    </row>
    <row r="444" spans="4:10" ht="15.75" customHeight="1" x14ac:dyDescent="0.3">
      <c r="D444" s="66"/>
      <c r="I444" s="66"/>
      <c r="J444" s="66"/>
    </row>
    <row r="445" spans="4:10" ht="15.75" customHeight="1" x14ac:dyDescent="0.3">
      <c r="D445" s="66"/>
      <c r="I445" s="66"/>
      <c r="J445" s="66"/>
    </row>
    <row r="446" spans="4:10" ht="15.75" customHeight="1" x14ac:dyDescent="0.3">
      <c r="D446" s="66"/>
      <c r="I446" s="66"/>
      <c r="J446" s="66"/>
    </row>
    <row r="447" spans="4:10" ht="15.75" customHeight="1" x14ac:dyDescent="0.3">
      <c r="D447" s="66"/>
      <c r="I447" s="66"/>
      <c r="J447" s="66"/>
    </row>
    <row r="448" spans="4:10" ht="15.75" customHeight="1" x14ac:dyDescent="0.3">
      <c r="D448" s="66"/>
      <c r="I448" s="66"/>
      <c r="J448" s="66"/>
    </row>
    <row r="449" spans="4:10" ht="15.75" customHeight="1" x14ac:dyDescent="0.3">
      <c r="D449" s="66"/>
      <c r="I449" s="66"/>
      <c r="J449" s="66"/>
    </row>
    <row r="450" spans="4:10" ht="15.75" customHeight="1" x14ac:dyDescent="0.3">
      <c r="D450" s="66"/>
      <c r="I450" s="66"/>
      <c r="J450" s="66"/>
    </row>
    <row r="451" spans="4:10" ht="15.75" customHeight="1" x14ac:dyDescent="0.3">
      <c r="D451" s="66"/>
      <c r="I451" s="66"/>
      <c r="J451" s="66"/>
    </row>
    <row r="452" spans="4:10" ht="15.75" customHeight="1" x14ac:dyDescent="0.3">
      <c r="D452" s="66"/>
      <c r="I452" s="66"/>
      <c r="J452" s="66"/>
    </row>
    <row r="453" spans="4:10" ht="15.75" customHeight="1" x14ac:dyDescent="0.3">
      <c r="D453" s="66"/>
      <c r="I453" s="66"/>
      <c r="J453" s="66"/>
    </row>
    <row r="454" spans="4:10" ht="15.75" customHeight="1" x14ac:dyDescent="0.3">
      <c r="D454" s="66"/>
      <c r="I454" s="66"/>
      <c r="J454" s="66"/>
    </row>
    <row r="455" spans="4:10" ht="15.75" customHeight="1" x14ac:dyDescent="0.3">
      <c r="D455" s="66"/>
      <c r="I455" s="66"/>
      <c r="J455" s="66"/>
    </row>
    <row r="456" spans="4:10" ht="15.75" customHeight="1" x14ac:dyDescent="0.3">
      <c r="D456" s="66"/>
      <c r="I456" s="66"/>
      <c r="J456" s="66"/>
    </row>
    <row r="457" spans="4:10" ht="15.75" customHeight="1" x14ac:dyDescent="0.3">
      <c r="D457" s="66"/>
      <c r="I457" s="66"/>
      <c r="J457" s="66"/>
    </row>
    <row r="458" spans="4:10" ht="15.75" customHeight="1" x14ac:dyDescent="0.3">
      <c r="D458" s="66"/>
      <c r="I458" s="66"/>
      <c r="J458" s="66"/>
    </row>
    <row r="459" spans="4:10" ht="15.75" customHeight="1" x14ac:dyDescent="0.3">
      <c r="D459" s="66"/>
      <c r="I459" s="66"/>
      <c r="J459" s="66"/>
    </row>
    <row r="460" spans="4:10" ht="15.75" customHeight="1" x14ac:dyDescent="0.3">
      <c r="D460" s="66"/>
      <c r="I460" s="66"/>
      <c r="J460" s="66"/>
    </row>
    <row r="461" spans="4:10" ht="15.75" customHeight="1" x14ac:dyDescent="0.3">
      <c r="D461" s="66"/>
      <c r="I461" s="66"/>
      <c r="J461" s="66"/>
    </row>
    <row r="462" spans="4:10" ht="15.75" customHeight="1" x14ac:dyDescent="0.3">
      <c r="D462" s="66"/>
      <c r="I462" s="66"/>
      <c r="J462" s="66"/>
    </row>
    <row r="463" spans="4:10" ht="15.75" customHeight="1" x14ac:dyDescent="0.3">
      <c r="D463" s="66"/>
      <c r="I463" s="66"/>
      <c r="J463" s="66"/>
    </row>
    <row r="464" spans="4:10" ht="15.75" customHeight="1" x14ac:dyDescent="0.3">
      <c r="D464" s="66"/>
      <c r="I464" s="66"/>
      <c r="J464" s="66"/>
    </row>
    <row r="465" spans="4:10" ht="15.75" customHeight="1" x14ac:dyDescent="0.3">
      <c r="D465" s="66"/>
      <c r="I465" s="66"/>
      <c r="J465" s="66"/>
    </row>
    <row r="466" spans="4:10" ht="15.75" customHeight="1" x14ac:dyDescent="0.3">
      <c r="D466" s="66"/>
      <c r="I466" s="66"/>
      <c r="J466" s="66"/>
    </row>
    <row r="467" spans="4:10" ht="15.75" customHeight="1" x14ac:dyDescent="0.3">
      <c r="D467" s="66"/>
      <c r="I467" s="66"/>
      <c r="J467" s="66"/>
    </row>
    <row r="468" spans="4:10" ht="15.75" customHeight="1" x14ac:dyDescent="0.3">
      <c r="D468" s="66"/>
      <c r="I468" s="66"/>
      <c r="J468" s="66"/>
    </row>
    <row r="469" spans="4:10" ht="15.75" customHeight="1" x14ac:dyDescent="0.3">
      <c r="D469" s="66"/>
      <c r="I469" s="66"/>
      <c r="J469" s="66"/>
    </row>
    <row r="470" spans="4:10" ht="15.75" customHeight="1" x14ac:dyDescent="0.3">
      <c r="D470" s="66"/>
      <c r="I470" s="66"/>
      <c r="J470" s="66"/>
    </row>
    <row r="471" spans="4:10" ht="15.75" customHeight="1" x14ac:dyDescent="0.3">
      <c r="D471" s="66"/>
      <c r="I471" s="66"/>
      <c r="J471" s="66"/>
    </row>
    <row r="472" spans="4:10" ht="15.75" customHeight="1" x14ac:dyDescent="0.3">
      <c r="D472" s="66"/>
      <c r="I472" s="66"/>
      <c r="J472" s="66"/>
    </row>
    <row r="473" spans="4:10" ht="15.75" customHeight="1" x14ac:dyDescent="0.3">
      <c r="D473" s="66"/>
      <c r="I473" s="66"/>
      <c r="J473" s="66"/>
    </row>
    <row r="474" spans="4:10" ht="15.75" customHeight="1" x14ac:dyDescent="0.3">
      <c r="D474" s="66"/>
      <c r="I474" s="66"/>
      <c r="J474" s="66"/>
    </row>
    <row r="475" spans="4:10" ht="15.75" customHeight="1" x14ac:dyDescent="0.3">
      <c r="D475" s="66"/>
      <c r="I475" s="66"/>
      <c r="J475" s="66"/>
    </row>
    <row r="476" spans="4:10" ht="15.75" customHeight="1" x14ac:dyDescent="0.3">
      <c r="D476" s="66"/>
      <c r="I476" s="66"/>
      <c r="J476" s="66"/>
    </row>
    <row r="477" spans="4:10" ht="15.75" customHeight="1" x14ac:dyDescent="0.3">
      <c r="D477" s="66"/>
      <c r="I477" s="66"/>
      <c r="J477" s="66"/>
    </row>
    <row r="478" spans="4:10" ht="15.75" customHeight="1" x14ac:dyDescent="0.3">
      <c r="D478" s="66"/>
      <c r="I478" s="66"/>
      <c r="J478" s="66"/>
    </row>
    <row r="479" spans="4:10" ht="15.75" customHeight="1" x14ac:dyDescent="0.3">
      <c r="D479" s="66"/>
      <c r="I479" s="66"/>
      <c r="J479" s="66"/>
    </row>
    <row r="480" spans="4:10" ht="15.75" customHeight="1" x14ac:dyDescent="0.3">
      <c r="D480" s="66"/>
      <c r="I480" s="66"/>
      <c r="J480" s="66"/>
    </row>
    <row r="481" spans="4:10" ht="15.75" customHeight="1" x14ac:dyDescent="0.3">
      <c r="D481" s="66"/>
      <c r="I481" s="66"/>
      <c r="J481" s="66"/>
    </row>
    <row r="482" spans="4:10" ht="15.75" customHeight="1" x14ac:dyDescent="0.3">
      <c r="D482" s="66"/>
      <c r="I482" s="66"/>
      <c r="J482" s="66"/>
    </row>
    <row r="483" spans="4:10" ht="15.75" customHeight="1" x14ac:dyDescent="0.3">
      <c r="D483" s="66"/>
      <c r="I483" s="66"/>
      <c r="J483" s="66"/>
    </row>
    <row r="484" spans="4:10" ht="15.75" customHeight="1" x14ac:dyDescent="0.3">
      <c r="D484" s="66"/>
      <c r="I484" s="66"/>
      <c r="J484" s="66"/>
    </row>
    <row r="485" spans="4:10" ht="15.75" customHeight="1" x14ac:dyDescent="0.3">
      <c r="D485" s="66"/>
      <c r="I485" s="66"/>
      <c r="J485" s="66"/>
    </row>
    <row r="486" spans="4:10" ht="15.75" customHeight="1" x14ac:dyDescent="0.3">
      <c r="D486" s="66"/>
      <c r="I486" s="66"/>
      <c r="J486" s="66"/>
    </row>
    <row r="487" spans="4:10" ht="15.75" customHeight="1" x14ac:dyDescent="0.3">
      <c r="D487" s="66"/>
      <c r="I487" s="66"/>
      <c r="J487" s="66"/>
    </row>
    <row r="488" spans="4:10" ht="15.75" customHeight="1" x14ac:dyDescent="0.3">
      <c r="D488" s="66"/>
      <c r="I488" s="66"/>
      <c r="J488" s="66"/>
    </row>
    <row r="489" spans="4:10" ht="15.75" customHeight="1" x14ac:dyDescent="0.3">
      <c r="D489" s="66"/>
      <c r="I489" s="66"/>
      <c r="J489" s="66"/>
    </row>
    <row r="490" spans="4:10" ht="15.75" customHeight="1" x14ac:dyDescent="0.3">
      <c r="D490" s="66"/>
      <c r="I490" s="66"/>
      <c r="J490" s="66"/>
    </row>
    <row r="491" spans="4:10" ht="15.75" customHeight="1" x14ac:dyDescent="0.3">
      <c r="D491" s="66"/>
      <c r="I491" s="66"/>
      <c r="J491" s="66"/>
    </row>
    <row r="492" spans="4:10" ht="15.75" customHeight="1" x14ac:dyDescent="0.3">
      <c r="D492" s="66"/>
      <c r="I492" s="66"/>
      <c r="J492" s="66"/>
    </row>
    <row r="493" spans="4:10" ht="15.75" customHeight="1" x14ac:dyDescent="0.3">
      <c r="D493" s="66"/>
      <c r="I493" s="66"/>
      <c r="J493" s="66"/>
    </row>
    <row r="494" spans="4:10" ht="15.75" customHeight="1" x14ac:dyDescent="0.3">
      <c r="D494" s="66"/>
      <c r="I494" s="66"/>
      <c r="J494" s="66"/>
    </row>
    <row r="495" spans="4:10" ht="15.75" customHeight="1" x14ac:dyDescent="0.3">
      <c r="D495" s="66"/>
      <c r="I495" s="66"/>
      <c r="J495" s="66"/>
    </row>
    <row r="496" spans="4:10" ht="15.75" customHeight="1" x14ac:dyDescent="0.3">
      <c r="D496" s="66"/>
      <c r="I496" s="66"/>
      <c r="J496" s="66"/>
    </row>
    <row r="497" spans="4:10" ht="15.75" customHeight="1" x14ac:dyDescent="0.3">
      <c r="D497" s="66"/>
      <c r="I497" s="66"/>
      <c r="J497" s="66"/>
    </row>
    <row r="498" spans="4:10" ht="15.75" customHeight="1" x14ac:dyDescent="0.3">
      <c r="D498" s="66"/>
      <c r="I498" s="66"/>
      <c r="J498" s="66"/>
    </row>
    <row r="499" spans="4:10" ht="15.75" customHeight="1" x14ac:dyDescent="0.3">
      <c r="D499" s="66"/>
      <c r="I499" s="66"/>
      <c r="J499" s="66"/>
    </row>
    <row r="500" spans="4:10" ht="15.75" customHeight="1" x14ac:dyDescent="0.3">
      <c r="D500" s="66"/>
      <c r="I500" s="66"/>
      <c r="J500" s="66"/>
    </row>
    <row r="501" spans="4:10" ht="15.75" customHeight="1" x14ac:dyDescent="0.3">
      <c r="D501" s="66"/>
      <c r="I501" s="66"/>
      <c r="J501" s="66"/>
    </row>
    <row r="502" spans="4:10" ht="15.75" customHeight="1" x14ac:dyDescent="0.3">
      <c r="D502" s="66"/>
      <c r="I502" s="66"/>
      <c r="J502" s="66"/>
    </row>
    <row r="503" spans="4:10" ht="15.75" customHeight="1" x14ac:dyDescent="0.3">
      <c r="D503" s="66"/>
      <c r="I503" s="66"/>
      <c r="J503" s="66"/>
    </row>
    <row r="504" spans="4:10" ht="15.75" customHeight="1" x14ac:dyDescent="0.3">
      <c r="D504" s="66"/>
      <c r="I504" s="66"/>
      <c r="J504" s="66"/>
    </row>
    <row r="505" spans="4:10" ht="15.75" customHeight="1" x14ac:dyDescent="0.3">
      <c r="D505" s="66"/>
      <c r="I505" s="66"/>
      <c r="J505" s="66"/>
    </row>
    <row r="506" spans="4:10" ht="15.75" customHeight="1" x14ac:dyDescent="0.3">
      <c r="D506" s="66"/>
      <c r="I506" s="66"/>
      <c r="J506" s="66"/>
    </row>
    <row r="507" spans="4:10" ht="15.75" customHeight="1" x14ac:dyDescent="0.3">
      <c r="D507" s="66"/>
      <c r="I507" s="66"/>
      <c r="J507" s="66"/>
    </row>
    <row r="508" spans="4:10" ht="15.75" customHeight="1" x14ac:dyDescent="0.3">
      <c r="D508" s="66"/>
      <c r="I508" s="66"/>
      <c r="J508" s="66"/>
    </row>
    <row r="509" spans="4:10" ht="15.75" customHeight="1" x14ac:dyDescent="0.3">
      <c r="D509" s="66"/>
      <c r="I509" s="66"/>
      <c r="J509" s="66"/>
    </row>
    <row r="510" spans="4:10" ht="15.75" customHeight="1" x14ac:dyDescent="0.3">
      <c r="D510" s="66"/>
      <c r="I510" s="66"/>
      <c r="J510" s="66"/>
    </row>
    <row r="511" spans="4:10" ht="15.75" customHeight="1" x14ac:dyDescent="0.3">
      <c r="D511" s="66"/>
      <c r="I511" s="66"/>
      <c r="J511" s="66"/>
    </row>
    <row r="512" spans="4:10" ht="15.75" customHeight="1" x14ac:dyDescent="0.3">
      <c r="D512" s="66"/>
      <c r="I512" s="66"/>
      <c r="J512" s="66"/>
    </row>
    <row r="513" spans="4:10" ht="15.75" customHeight="1" x14ac:dyDescent="0.3">
      <c r="D513" s="66"/>
      <c r="I513" s="66"/>
      <c r="J513" s="66"/>
    </row>
    <row r="514" spans="4:10" ht="15.75" customHeight="1" x14ac:dyDescent="0.3">
      <c r="D514" s="66"/>
      <c r="I514" s="66"/>
      <c r="J514" s="66"/>
    </row>
    <row r="515" spans="4:10" ht="15.75" customHeight="1" x14ac:dyDescent="0.3">
      <c r="D515" s="66"/>
      <c r="I515" s="66"/>
      <c r="J515" s="66"/>
    </row>
    <row r="516" spans="4:10" ht="15.75" customHeight="1" x14ac:dyDescent="0.3">
      <c r="D516" s="66"/>
      <c r="I516" s="66"/>
      <c r="J516" s="66"/>
    </row>
    <row r="517" spans="4:10" ht="15.75" customHeight="1" x14ac:dyDescent="0.3">
      <c r="D517" s="66"/>
      <c r="I517" s="66"/>
      <c r="J517" s="66"/>
    </row>
    <row r="518" spans="4:10" ht="15.75" customHeight="1" x14ac:dyDescent="0.3">
      <c r="D518" s="66"/>
      <c r="I518" s="66"/>
      <c r="J518" s="66"/>
    </row>
    <row r="519" spans="4:10" ht="15.75" customHeight="1" x14ac:dyDescent="0.3">
      <c r="D519" s="66"/>
      <c r="I519" s="66"/>
      <c r="J519" s="66"/>
    </row>
    <row r="520" spans="4:10" ht="15.75" customHeight="1" x14ac:dyDescent="0.3">
      <c r="D520" s="66"/>
      <c r="I520" s="66"/>
      <c r="J520" s="66"/>
    </row>
    <row r="521" spans="4:10" ht="15.75" customHeight="1" x14ac:dyDescent="0.3">
      <c r="D521" s="66"/>
      <c r="I521" s="66"/>
      <c r="J521" s="66"/>
    </row>
    <row r="522" spans="4:10" ht="15.75" customHeight="1" x14ac:dyDescent="0.3">
      <c r="D522" s="66"/>
      <c r="I522" s="66"/>
      <c r="J522" s="66"/>
    </row>
    <row r="523" spans="4:10" ht="15.75" customHeight="1" x14ac:dyDescent="0.3">
      <c r="D523" s="66"/>
      <c r="I523" s="66"/>
      <c r="J523" s="66"/>
    </row>
    <row r="524" spans="4:10" ht="15.75" customHeight="1" x14ac:dyDescent="0.3">
      <c r="D524" s="66"/>
      <c r="I524" s="66"/>
      <c r="J524" s="66"/>
    </row>
    <row r="525" spans="4:10" ht="15.75" customHeight="1" x14ac:dyDescent="0.3">
      <c r="D525" s="66"/>
      <c r="I525" s="66"/>
      <c r="J525" s="66"/>
    </row>
    <row r="526" spans="4:10" ht="15.75" customHeight="1" x14ac:dyDescent="0.3">
      <c r="D526" s="66"/>
      <c r="I526" s="66"/>
      <c r="J526" s="66"/>
    </row>
    <row r="527" spans="4:10" ht="15.75" customHeight="1" x14ac:dyDescent="0.3">
      <c r="D527" s="66"/>
      <c r="I527" s="66"/>
      <c r="J527" s="66"/>
    </row>
    <row r="528" spans="4:10" ht="15.75" customHeight="1" x14ac:dyDescent="0.3">
      <c r="D528" s="66"/>
      <c r="I528" s="66"/>
      <c r="J528" s="66"/>
    </row>
    <row r="529" spans="4:10" ht="15.75" customHeight="1" x14ac:dyDescent="0.3">
      <c r="D529" s="66"/>
      <c r="I529" s="66"/>
      <c r="J529" s="66"/>
    </row>
    <row r="530" spans="4:10" ht="15.75" customHeight="1" x14ac:dyDescent="0.3">
      <c r="D530" s="66"/>
      <c r="I530" s="66"/>
      <c r="J530" s="66"/>
    </row>
    <row r="531" spans="4:10" ht="15.75" customHeight="1" x14ac:dyDescent="0.3">
      <c r="D531" s="66"/>
      <c r="I531" s="66"/>
      <c r="J531" s="66"/>
    </row>
    <row r="532" spans="4:10" ht="15.75" customHeight="1" x14ac:dyDescent="0.3">
      <c r="D532" s="66"/>
      <c r="I532" s="66"/>
      <c r="J532" s="66"/>
    </row>
    <row r="533" spans="4:10" ht="15.75" customHeight="1" x14ac:dyDescent="0.3">
      <c r="D533" s="66"/>
      <c r="I533" s="66"/>
      <c r="J533" s="66"/>
    </row>
    <row r="534" spans="4:10" ht="15.75" customHeight="1" x14ac:dyDescent="0.3">
      <c r="D534" s="66"/>
      <c r="I534" s="66"/>
      <c r="J534" s="66"/>
    </row>
    <row r="535" spans="4:10" ht="15.75" customHeight="1" x14ac:dyDescent="0.3">
      <c r="D535" s="66"/>
      <c r="I535" s="66"/>
      <c r="J535" s="66"/>
    </row>
    <row r="536" spans="4:10" ht="15.75" customHeight="1" x14ac:dyDescent="0.3">
      <c r="D536" s="66"/>
      <c r="I536" s="66"/>
      <c r="J536" s="66"/>
    </row>
    <row r="537" spans="4:10" ht="15.75" customHeight="1" x14ac:dyDescent="0.3">
      <c r="D537" s="66"/>
      <c r="I537" s="66"/>
      <c r="J537" s="66"/>
    </row>
    <row r="538" spans="4:10" ht="15.75" customHeight="1" x14ac:dyDescent="0.3">
      <c r="D538" s="66"/>
      <c r="I538" s="66"/>
      <c r="J538" s="66"/>
    </row>
    <row r="539" spans="4:10" ht="15.75" customHeight="1" x14ac:dyDescent="0.3">
      <c r="D539" s="66"/>
      <c r="I539" s="66"/>
      <c r="J539" s="66"/>
    </row>
    <row r="540" spans="4:10" ht="15.75" customHeight="1" x14ac:dyDescent="0.3">
      <c r="D540" s="66"/>
      <c r="I540" s="66"/>
      <c r="J540" s="66"/>
    </row>
    <row r="541" spans="4:10" ht="15.75" customHeight="1" x14ac:dyDescent="0.3">
      <c r="D541" s="66"/>
      <c r="I541" s="66"/>
      <c r="J541" s="66"/>
    </row>
    <row r="542" spans="4:10" ht="15.75" customHeight="1" x14ac:dyDescent="0.3">
      <c r="D542" s="66"/>
      <c r="I542" s="66"/>
      <c r="J542" s="66"/>
    </row>
    <row r="543" spans="4:10" ht="15.75" customHeight="1" x14ac:dyDescent="0.3">
      <c r="D543" s="66"/>
      <c r="I543" s="66"/>
      <c r="J543" s="66"/>
    </row>
    <row r="544" spans="4:10" ht="15.75" customHeight="1" x14ac:dyDescent="0.3">
      <c r="D544" s="66"/>
      <c r="I544" s="66"/>
      <c r="J544" s="66"/>
    </row>
    <row r="545" spans="4:10" ht="15.75" customHeight="1" x14ac:dyDescent="0.3">
      <c r="D545" s="66"/>
      <c r="I545" s="66"/>
      <c r="J545" s="66"/>
    </row>
    <row r="546" spans="4:10" ht="15.75" customHeight="1" x14ac:dyDescent="0.3">
      <c r="D546" s="66"/>
      <c r="I546" s="66"/>
      <c r="J546" s="66"/>
    </row>
    <row r="547" spans="4:10" ht="15.75" customHeight="1" x14ac:dyDescent="0.3">
      <c r="D547" s="66"/>
      <c r="I547" s="66"/>
      <c r="J547" s="66"/>
    </row>
    <row r="548" spans="4:10" ht="15.75" customHeight="1" x14ac:dyDescent="0.3">
      <c r="D548" s="66"/>
      <c r="I548" s="66"/>
      <c r="J548" s="66"/>
    </row>
    <row r="549" spans="4:10" ht="15.75" customHeight="1" x14ac:dyDescent="0.3">
      <c r="D549" s="66"/>
      <c r="I549" s="66"/>
      <c r="J549" s="66"/>
    </row>
    <row r="550" spans="4:10" ht="15.75" customHeight="1" x14ac:dyDescent="0.3">
      <c r="D550" s="66"/>
      <c r="I550" s="66"/>
      <c r="J550" s="66"/>
    </row>
    <row r="551" spans="4:10" ht="15.75" customHeight="1" x14ac:dyDescent="0.3">
      <c r="D551" s="66"/>
      <c r="I551" s="66"/>
      <c r="J551" s="66"/>
    </row>
    <row r="552" spans="4:10" ht="15.75" customHeight="1" x14ac:dyDescent="0.3">
      <c r="D552" s="66"/>
      <c r="I552" s="66"/>
      <c r="J552" s="66"/>
    </row>
    <row r="553" spans="4:10" ht="15.75" customHeight="1" x14ac:dyDescent="0.3">
      <c r="D553" s="66"/>
      <c r="I553" s="66"/>
      <c r="J553" s="66"/>
    </row>
    <row r="554" spans="4:10" ht="15.75" customHeight="1" x14ac:dyDescent="0.3">
      <c r="D554" s="66"/>
      <c r="I554" s="66"/>
      <c r="J554" s="66"/>
    </row>
    <row r="555" spans="4:10" ht="15.75" customHeight="1" x14ac:dyDescent="0.3">
      <c r="D555" s="66"/>
      <c r="I555" s="66"/>
      <c r="J555" s="66"/>
    </row>
    <row r="556" spans="4:10" ht="15.75" customHeight="1" x14ac:dyDescent="0.3">
      <c r="D556" s="66"/>
      <c r="I556" s="66"/>
      <c r="J556" s="66"/>
    </row>
    <row r="557" spans="4:10" ht="15.75" customHeight="1" x14ac:dyDescent="0.3">
      <c r="D557" s="66"/>
      <c r="I557" s="66"/>
      <c r="J557" s="66"/>
    </row>
    <row r="558" spans="4:10" ht="15.75" customHeight="1" x14ac:dyDescent="0.3">
      <c r="D558" s="66"/>
      <c r="I558" s="66"/>
      <c r="J558" s="66"/>
    </row>
    <row r="559" spans="4:10" ht="15.75" customHeight="1" x14ac:dyDescent="0.3">
      <c r="D559" s="66"/>
      <c r="I559" s="66"/>
      <c r="J559" s="66"/>
    </row>
    <row r="560" spans="4:10" ht="15.75" customHeight="1" x14ac:dyDescent="0.3">
      <c r="D560" s="66"/>
      <c r="I560" s="66"/>
      <c r="J560" s="66"/>
    </row>
    <row r="561" spans="4:10" ht="15.75" customHeight="1" x14ac:dyDescent="0.3">
      <c r="D561" s="66"/>
      <c r="I561" s="66"/>
      <c r="J561" s="66"/>
    </row>
    <row r="562" spans="4:10" ht="15.75" customHeight="1" x14ac:dyDescent="0.3">
      <c r="D562" s="66"/>
      <c r="I562" s="66"/>
      <c r="J562" s="66"/>
    </row>
    <row r="563" spans="4:10" ht="15.75" customHeight="1" x14ac:dyDescent="0.3">
      <c r="D563" s="66"/>
      <c r="I563" s="66"/>
      <c r="J563" s="66"/>
    </row>
    <row r="564" spans="4:10" ht="15.75" customHeight="1" x14ac:dyDescent="0.3">
      <c r="D564" s="66"/>
      <c r="I564" s="66"/>
      <c r="J564" s="66"/>
    </row>
    <row r="565" spans="4:10" ht="15.75" customHeight="1" x14ac:dyDescent="0.3">
      <c r="D565" s="66"/>
      <c r="I565" s="66"/>
      <c r="J565" s="66"/>
    </row>
    <row r="566" spans="4:10" ht="15.75" customHeight="1" x14ac:dyDescent="0.3">
      <c r="D566" s="66"/>
      <c r="I566" s="66"/>
      <c r="J566" s="66"/>
    </row>
    <row r="567" spans="4:10" ht="15.75" customHeight="1" x14ac:dyDescent="0.3">
      <c r="D567" s="66"/>
      <c r="I567" s="66"/>
      <c r="J567" s="66"/>
    </row>
    <row r="568" spans="4:10" ht="15.75" customHeight="1" x14ac:dyDescent="0.3">
      <c r="D568" s="66"/>
      <c r="I568" s="66"/>
      <c r="J568" s="66"/>
    </row>
    <row r="569" spans="4:10" ht="15.75" customHeight="1" x14ac:dyDescent="0.3">
      <c r="D569" s="66"/>
      <c r="I569" s="66"/>
      <c r="J569" s="66"/>
    </row>
    <row r="570" spans="4:10" ht="15.75" customHeight="1" x14ac:dyDescent="0.3">
      <c r="D570" s="66"/>
      <c r="I570" s="66"/>
      <c r="J570" s="66"/>
    </row>
    <row r="571" spans="4:10" ht="15.75" customHeight="1" x14ac:dyDescent="0.3">
      <c r="D571" s="66"/>
      <c r="I571" s="66"/>
      <c r="J571" s="66"/>
    </row>
    <row r="572" spans="4:10" ht="15.75" customHeight="1" x14ac:dyDescent="0.3">
      <c r="D572" s="66"/>
      <c r="I572" s="66"/>
      <c r="J572" s="66"/>
    </row>
    <row r="573" spans="4:10" ht="15.75" customHeight="1" x14ac:dyDescent="0.3">
      <c r="D573" s="66"/>
      <c r="I573" s="66"/>
      <c r="J573" s="66"/>
    </row>
    <row r="574" spans="4:10" ht="15.75" customHeight="1" x14ac:dyDescent="0.3">
      <c r="D574" s="66"/>
      <c r="I574" s="66"/>
      <c r="J574" s="66"/>
    </row>
    <row r="575" spans="4:10" ht="15.75" customHeight="1" x14ac:dyDescent="0.3">
      <c r="D575" s="66"/>
      <c r="I575" s="66"/>
      <c r="J575" s="66"/>
    </row>
    <row r="576" spans="4:10" ht="15.75" customHeight="1" x14ac:dyDescent="0.3">
      <c r="D576" s="66"/>
      <c r="I576" s="66"/>
      <c r="J576" s="66"/>
    </row>
    <row r="577" spans="4:10" ht="15.75" customHeight="1" x14ac:dyDescent="0.3">
      <c r="D577" s="66"/>
      <c r="I577" s="66"/>
      <c r="J577" s="66"/>
    </row>
    <row r="578" spans="4:10" ht="15.75" customHeight="1" x14ac:dyDescent="0.3">
      <c r="D578" s="66"/>
      <c r="I578" s="66"/>
      <c r="J578" s="66"/>
    </row>
    <row r="579" spans="4:10" ht="15.75" customHeight="1" x14ac:dyDescent="0.3">
      <c r="D579" s="66"/>
      <c r="I579" s="66"/>
      <c r="J579" s="66"/>
    </row>
    <row r="580" spans="4:10" ht="15.75" customHeight="1" x14ac:dyDescent="0.3">
      <c r="D580" s="66"/>
      <c r="I580" s="66"/>
      <c r="J580" s="66"/>
    </row>
    <row r="581" spans="4:10" ht="15.75" customHeight="1" x14ac:dyDescent="0.3">
      <c r="D581" s="66"/>
      <c r="I581" s="66"/>
      <c r="J581" s="66"/>
    </row>
    <row r="582" spans="4:10" ht="15.75" customHeight="1" x14ac:dyDescent="0.3">
      <c r="D582" s="66"/>
      <c r="I582" s="66"/>
      <c r="J582" s="66"/>
    </row>
    <row r="583" spans="4:10" ht="15.75" customHeight="1" x14ac:dyDescent="0.3">
      <c r="D583" s="66"/>
      <c r="I583" s="66"/>
      <c r="J583" s="66"/>
    </row>
    <row r="584" spans="4:10" ht="15.75" customHeight="1" x14ac:dyDescent="0.3">
      <c r="D584" s="66"/>
      <c r="I584" s="66"/>
      <c r="J584" s="66"/>
    </row>
    <row r="585" spans="4:10" ht="15.75" customHeight="1" x14ac:dyDescent="0.3">
      <c r="D585" s="66"/>
      <c r="I585" s="66"/>
      <c r="J585" s="66"/>
    </row>
    <row r="586" spans="4:10" ht="15.75" customHeight="1" x14ac:dyDescent="0.3">
      <c r="D586" s="66"/>
      <c r="I586" s="66"/>
      <c r="J586" s="66"/>
    </row>
    <row r="587" spans="4:10" ht="15.75" customHeight="1" x14ac:dyDescent="0.3">
      <c r="D587" s="66"/>
      <c r="I587" s="66"/>
      <c r="J587" s="66"/>
    </row>
    <row r="588" spans="4:10" ht="15.75" customHeight="1" x14ac:dyDescent="0.3">
      <c r="D588" s="66"/>
      <c r="I588" s="66"/>
      <c r="J588" s="66"/>
    </row>
    <row r="589" spans="4:10" ht="15.75" customHeight="1" x14ac:dyDescent="0.3">
      <c r="D589" s="66"/>
      <c r="I589" s="66"/>
      <c r="J589" s="66"/>
    </row>
    <row r="590" spans="4:10" ht="15.75" customHeight="1" x14ac:dyDescent="0.3">
      <c r="D590" s="66"/>
      <c r="I590" s="66"/>
      <c r="J590" s="66"/>
    </row>
    <row r="591" spans="4:10" ht="15.75" customHeight="1" x14ac:dyDescent="0.3">
      <c r="D591" s="66"/>
      <c r="I591" s="66"/>
      <c r="J591" s="66"/>
    </row>
    <row r="592" spans="4:10" ht="15.75" customHeight="1" x14ac:dyDescent="0.3">
      <c r="D592" s="66"/>
      <c r="I592" s="66"/>
      <c r="J592" s="66"/>
    </row>
    <row r="593" spans="4:10" ht="15.75" customHeight="1" x14ac:dyDescent="0.3">
      <c r="D593" s="66"/>
      <c r="I593" s="66"/>
      <c r="J593" s="66"/>
    </row>
    <row r="594" spans="4:10" ht="15.75" customHeight="1" x14ac:dyDescent="0.3">
      <c r="D594" s="66"/>
      <c r="I594" s="66"/>
      <c r="J594" s="66"/>
    </row>
    <row r="595" spans="4:10" ht="15.75" customHeight="1" x14ac:dyDescent="0.3">
      <c r="D595" s="66"/>
      <c r="I595" s="66"/>
      <c r="J595" s="66"/>
    </row>
    <row r="596" spans="4:10" ht="15.75" customHeight="1" x14ac:dyDescent="0.3">
      <c r="D596" s="66"/>
      <c r="I596" s="66"/>
      <c r="J596" s="66"/>
    </row>
    <row r="597" spans="4:10" ht="15.75" customHeight="1" x14ac:dyDescent="0.3">
      <c r="D597" s="66"/>
      <c r="I597" s="66"/>
      <c r="J597" s="66"/>
    </row>
    <row r="598" spans="4:10" ht="15.75" customHeight="1" x14ac:dyDescent="0.3">
      <c r="D598" s="66"/>
      <c r="I598" s="66"/>
      <c r="J598" s="66"/>
    </row>
    <row r="599" spans="4:10" ht="15.75" customHeight="1" x14ac:dyDescent="0.3">
      <c r="D599" s="66"/>
      <c r="I599" s="66"/>
      <c r="J599" s="66"/>
    </row>
    <row r="600" spans="4:10" ht="15.75" customHeight="1" x14ac:dyDescent="0.3">
      <c r="D600" s="66"/>
      <c r="I600" s="66"/>
      <c r="J600" s="66"/>
    </row>
    <row r="601" spans="4:10" ht="15.75" customHeight="1" x14ac:dyDescent="0.3">
      <c r="D601" s="66"/>
      <c r="I601" s="66"/>
      <c r="J601" s="66"/>
    </row>
    <row r="602" spans="4:10" ht="15.75" customHeight="1" x14ac:dyDescent="0.3">
      <c r="D602" s="66"/>
      <c r="I602" s="66"/>
      <c r="J602" s="66"/>
    </row>
    <row r="603" spans="4:10" ht="15.75" customHeight="1" x14ac:dyDescent="0.3">
      <c r="D603" s="66"/>
      <c r="I603" s="66"/>
      <c r="J603" s="66"/>
    </row>
    <row r="604" spans="4:10" ht="15.75" customHeight="1" x14ac:dyDescent="0.3">
      <c r="D604" s="66"/>
      <c r="I604" s="66"/>
      <c r="J604" s="66"/>
    </row>
    <row r="605" spans="4:10" ht="15.75" customHeight="1" x14ac:dyDescent="0.3">
      <c r="D605" s="66"/>
      <c r="I605" s="66"/>
      <c r="J605" s="66"/>
    </row>
    <row r="606" spans="4:10" ht="15.75" customHeight="1" x14ac:dyDescent="0.3">
      <c r="D606" s="66"/>
      <c r="I606" s="66"/>
      <c r="J606" s="66"/>
    </row>
    <row r="607" spans="4:10" ht="15.75" customHeight="1" x14ac:dyDescent="0.3">
      <c r="D607" s="66"/>
      <c r="I607" s="66"/>
      <c r="J607" s="66"/>
    </row>
    <row r="608" spans="4:10" ht="15.75" customHeight="1" x14ac:dyDescent="0.3">
      <c r="D608" s="66"/>
      <c r="I608" s="66"/>
      <c r="J608" s="66"/>
    </row>
    <row r="609" spans="4:10" ht="15.75" customHeight="1" x14ac:dyDescent="0.3">
      <c r="D609" s="66"/>
      <c r="I609" s="66"/>
      <c r="J609" s="66"/>
    </row>
    <row r="610" spans="4:10" ht="15.75" customHeight="1" x14ac:dyDescent="0.3">
      <c r="D610" s="66"/>
      <c r="I610" s="66"/>
      <c r="J610" s="66"/>
    </row>
    <row r="611" spans="4:10" ht="15.75" customHeight="1" x14ac:dyDescent="0.3">
      <c r="D611" s="66"/>
      <c r="I611" s="66"/>
      <c r="J611" s="66"/>
    </row>
    <row r="612" spans="4:10" ht="15.75" customHeight="1" x14ac:dyDescent="0.3">
      <c r="D612" s="66"/>
      <c r="I612" s="66"/>
      <c r="J612" s="66"/>
    </row>
    <row r="613" spans="4:10" ht="15.75" customHeight="1" x14ac:dyDescent="0.3">
      <c r="D613" s="66"/>
      <c r="I613" s="66"/>
      <c r="J613" s="66"/>
    </row>
    <row r="614" spans="4:10" ht="15.75" customHeight="1" x14ac:dyDescent="0.3">
      <c r="D614" s="66"/>
      <c r="I614" s="66"/>
      <c r="J614" s="66"/>
    </row>
    <row r="615" spans="4:10" ht="15.75" customHeight="1" x14ac:dyDescent="0.3">
      <c r="D615" s="66"/>
      <c r="I615" s="66"/>
      <c r="J615" s="66"/>
    </row>
    <row r="616" spans="4:10" ht="15.75" customHeight="1" x14ac:dyDescent="0.3">
      <c r="D616" s="66"/>
      <c r="I616" s="66"/>
      <c r="J616" s="66"/>
    </row>
    <row r="617" spans="4:10" ht="15.75" customHeight="1" x14ac:dyDescent="0.3">
      <c r="D617" s="66"/>
      <c r="I617" s="66"/>
      <c r="J617" s="66"/>
    </row>
    <row r="618" spans="4:10" ht="15.75" customHeight="1" x14ac:dyDescent="0.3">
      <c r="D618" s="66"/>
      <c r="I618" s="66"/>
      <c r="J618" s="66"/>
    </row>
    <row r="619" spans="4:10" ht="15.75" customHeight="1" x14ac:dyDescent="0.3">
      <c r="D619" s="66"/>
      <c r="I619" s="66"/>
      <c r="J619" s="66"/>
    </row>
    <row r="620" spans="4:10" ht="15.75" customHeight="1" x14ac:dyDescent="0.3">
      <c r="D620" s="66"/>
      <c r="I620" s="66"/>
      <c r="J620" s="66"/>
    </row>
    <row r="621" spans="4:10" ht="15.75" customHeight="1" x14ac:dyDescent="0.3">
      <c r="D621" s="66"/>
      <c r="I621" s="66"/>
      <c r="J621" s="66"/>
    </row>
    <row r="622" spans="4:10" ht="15.75" customHeight="1" x14ac:dyDescent="0.3">
      <c r="D622" s="66"/>
      <c r="I622" s="66"/>
      <c r="J622" s="66"/>
    </row>
    <row r="623" spans="4:10" ht="15.75" customHeight="1" x14ac:dyDescent="0.3">
      <c r="D623" s="66"/>
      <c r="I623" s="66"/>
      <c r="J623" s="66"/>
    </row>
    <row r="624" spans="4:10" ht="15.75" customHeight="1" x14ac:dyDescent="0.3">
      <c r="D624" s="66"/>
      <c r="I624" s="66"/>
      <c r="J624" s="66"/>
    </row>
    <row r="625" spans="4:10" ht="15.75" customHeight="1" x14ac:dyDescent="0.3">
      <c r="D625" s="66"/>
      <c r="I625" s="66"/>
      <c r="J625" s="66"/>
    </row>
    <row r="626" spans="4:10" ht="15.75" customHeight="1" x14ac:dyDescent="0.3">
      <c r="D626" s="66"/>
      <c r="I626" s="66"/>
      <c r="J626" s="66"/>
    </row>
    <row r="627" spans="4:10" ht="15.75" customHeight="1" x14ac:dyDescent="0.3">
      <c r="D627" s="66"/>
      <c r="I627" s="66"/>
      <c r="J627" s="66"/>
    </row>
    <row r="628" spans="4:10" ht="15.75" customHeight="1" x14ac:dyDescent="0.3">
      <c r="D628" s="66"/>
      <c r="I628" s="66"/>
      <c r="J628" s="66"/>
    </row>
    <row r="629" spans="4:10" ht="15.75" customHeight="1" x14ac:dyDescent="0.3">
      <c r="D629" s="66"/>
      <c r="I629" s="66"/>
      <c r="J629" s="66"/>
    </row>
    <row r="630" spans="4:10" ht="15.75" customHeight="1" x14ac:dyDescent="0.3">
      <c r="D630" s="66"/>
      <c r="I630" s="66"/>
      <c r="J630" s="66"/>
    </row>
    <row r="631" spans="4:10" ht="15.75" customHeight="1" x14ac:dyDescent="0.3">
      <c r="D631" s="66"/>
      <c r="I631" s="66"/>
      <c r="J631" s="66"/>
    </row>
    <row r="632" spans="4:10" ht="15.75" customHeight="1" x14ac:dyDescent="0.3">
      <c r="D632" s="66"/>
      <c r="I632" s="66"/>
      <c r="J632" s="66"/>
    </row>
    <row r="633" spans="4:10" ht="15.75" customHeight="1" x14ac:dyDescent="0.3">
      <c r="D633" s="66"/>
      <c r="I633" s="66"/>
      <c r="J633" s="66"/>
    </row>
    <row r="634" spans="4:10" ht="15.75" customHeight="1" x14ac:dyDescent="0.3">
      <c r="D634" s="66"/>
      <c r="I634" s="66"/>
      <c r="J634" s="66"/>
    </row>
    <row r="635" spans="4:10" ht="15.75" customHeight="1" x14ac:dyDescent="0.3">
      <c r="D635" s="66"/>
      <c r="I635" s="66"/>
      <c r="J635" s="66"/>
    </row>
    <row r="636" spans="4:10" ht="15.75" customHeight="1" x14ac:dyDescent="0.3">
      <c r="D636" s="66"/>
      <c r="I636" s="66"/>
      <c r="J636" s="66"/>
    </row>
    <row r="637" spans="4:10" ht="15.75" customHeight="1" x14ac:dyDescent="0.3">
      <c r="D637" s="66"/>
      <c r="I637" s="66"/>
      <c r="J637" s="66"/>
    </row>
    <row r="638" spans="4:10" ht="15.75" customHeight="1" x14ac:dyDescent="0.3">
      <c r="D638" s="66"/>
      <c r="I638" s="66"/>
      <c r="J638" s="66"/>
    </row>
    <row r="639" spans="4:10" ht="15.75" customHeight="1" x14ac:dyDescent="0.3">
      <c r="D639" s="66"/>
      <c r="I639" s="66"/>
      <c r="J639" s="66"/>
    </row>
    <row r="640" spans="4:10" ht="15.75" customHeight="1" x14ac:dyDescent="0.3">
      <c r="D640" s="66"/>
      <c r="I640" s="66"/>
      <c r="J640" s="66"/>
    </row>
    <row r="641" spans="4:10" ht="15.75" customHeight="1" x14ac:dyDescent="0.3">
      <c r="D641" s="66"/>
      <c r="I641" s="66"/>
      <c r="J641" s="66"/>
    </row>
    <row r="642" spans="4:10" ht="15.75" customHeight="1" x14ac:dyDescent="0.3">
      <c r="D642" s="66"/>
      <c r="I642" s="66"/>
      <c r="J642" s="66"/>
    </row>
    <row r="643" spans="4:10" ht="15.75" customHeight="1" x14ac:dyDescent="0.3">
      <c r="D643" s="66"/>
      <c r="I643" s="66"/>
      <c r="J643" s="66"/>
    </row>
    <row r="644" spans="4:10" ht="15.75" customHeight="1" x14ac:dyDescent="0.3">
      <c r="D644" s="66"/>
      <c r="I644" s="66"/>
      <c r="J644" s="66"/>
    </row>
    <row r="645" spans="4:10" ht="15.75" customHeight="1" x14ac:dyDescent="0.3">
      <c r="D645" s="66"/>
      <c r="I645" s="66"/>
      <c r="J645" s="66"/>
    </row>
    <row r="646" spans="4:10" ht="15.75" customHeight="1" x14ac:dyDescent="0.3">
      <c r="D646" s="66"/>
      <c r="I646" s="66"/>
      <c r="J646" s="66"/>
    </row>
    <row r="647" spans="4:10" ht="15.75" customHeight="1" x14ac:dyDescent="0.3">
      <c r="D647" s="66"/>
      <c r="I647" s="66"/>
      <c r="J647" s="66"/>
    </row>
    <row r="648" spans="4:10" ht="15.75" customHeight="1" x14ac:dyDescent="0.3">
      <c r="D648" s="66"/>
      <c r="I648" s="66"/>
      <c r="J648" s="66"/>
    </row>
    <row r="649" spans="4:10" ht="15.75" customHeight="1" x14ac:dyDescent="0.3">
      <c r="D649" s="66"/>
      <c r="I649" s="66"/>
      <c r="J649" s="66"/>
    </row>
    <row r="650" spans="4:10" ht="15.75" customHeight="1" x14ac:dyDescent="0.3">
      <c r="D650" s="66"/>
      <c r="I650" s="66"/>
      <c r="J650" s="66"/>
    </row>
    <row r="651" spans="4:10" ht="15.75" customHeight="1" x14ac:dyDescent="0.3">
      <c r="D651" s="66"/>
      <c r="I651" s="66"/>
      <c r="J651" s="66"/>
    </row>
    <row r="652" spans="4:10" ht="15.75" customHeight="1" x14ac:dyDescent="0.3">
      <c r="D652" s="66"/>
      <c r="I652" s="66"/>
      <c r="J652" s="66"/>
    </row>
    <row r="653" spans="4:10" ht="15.75" customHeight="1" x14ac:dyDescent="0.3">
      <c r="D653" s="66"/>
      <c r="I653" s="66"/>
      <c r="J653" s="66"/>
    </row>
    <row r="654" spans="4:10" ht="15.75" customHeight="1" x14ac:dyDescent="0.3">
      <c r="D654" s="66"/>
      <c r="I654" s="66"/>
      <c r="J654" s="66"/>
    </row>
    <row r="655" spans="4:10" ht="15.75" customHeight="1" x14ac:dyDescent="0.3">
      <c r="D655" s="66"/>
      <c r="I655" s="66"/>
      <c r="J655" s="66"/>
    </row>
    <row r="656" spans="4:10" ht="15.75" customHeight="1" x14ac:dyDescent="0.3">
      <c r="D656" s="66"/>
      <c r="I656" s="66"/>
      <c r="J656" s="66"/>
    </row>
    <row r="657" spans="4:10" ht="15.75" customHeight="1" x14ac:dyDescent="0.3">
      <c r="D657" s="66"/>
      <c r="I657" s="66"/>
      <c r="J657" s="66"/>
    </row>
    <row r="658" spans="4:10" ht="15.75" customHeight="1" x14ac:dyDescent="0.3">
      <c r="D658" s="66"/>
      <c r="I658" s="66"/>
      <c r="J658" s="66"/>
    </row>
    <row r="659" spans="4:10" ht="15.75" customHeight="1" x14ac:dyDescent="0.3">
      <c r="D659" s="66"/>
      <c r="I659" s="66"/>
      <c r="J659" s="66"/>
    </row>
    <row r="660" spans="4:10" ht="15.75" customHeight="1" x14ac:dyDescent="0.3">
      <c r="D660" s="66"/>
      <c r="I660" s="66"/>
      <c r="J660" s="66"/>
    </row>
    <row r="661" spans="4:10" ht="15.75" customHeight="1" x14ac:dyDescent="0.3">
      <c r="D661" s="66"/>
      <c r="I661" s="66"/>
      <c r="J661" s="66"/>
    </row>
    <row r="662" spans="4:10" ht="15.75" customHeight="1" x14ac:dyDescent="0.3">
      <c r="D662" s="66"/>
      <c r="I662" s="66"/>
      <c r="J662" s="66"/>
    </row>
    <row r="663" spans="4:10" ht="15.75" customHeight="1" x14ac:dyDescent="0.3">
      <c r="D663" s="66"/>
      <c r="I663" s="66"/>
      <c r="J663" s="66"/>
    </row>
    <row r="664" spans="4:10" ht="15.75" customHeight="1" x14ac:dyDescent="0.3">
      <c r="D664" s="66"/>
      <c r="I664" s="66"/>
      <c r="J664" s="66"/>
    </row>
    <row r="665" spans="4:10" ht="15.75" customHeight="1" x14ac:dyDescent="0.3">
      <c r="D665" s="66"/>
      <c r="I665" s="66"/>
      <c r="J665" s="66"/>
    </row>
    <row r="666" spans="4:10" ht="15.75" customHeight="1" x14ac:dyDescent="0.3">
      <c r="D666" s="66"/>
      <c r="I666" s="66"/>
      <c r="J666" s="66"/>
    </row>
    <row r="667" spans="4:10" ht="15.75" customHeight="1" x14ac:dyDescent="0.3">
      <c r="D667" s="66"/>
      <c r="I667" s="66"/>
      <c r="J667" s="66"/>
    </row>
    <row r="668" spans="4:10" ht="15.75" customHeight="1" x14ac:dyDescent="0.3">
      <c r="D668" s="66"/>
      <c r="I668" s="66"/>
      <c r="J668" s="66"/>
    </row>
    <row r="669" spans="4:10" ht="15.75" customHeight="1" x14ac:dyDescent="0.3">
      <c r="D669" s="66"/>
      <c r="I669" s="66"/>
      <c r="J669" s="66"/>
    </row>
    <row r="670" spans="4:10" ht="15.75" customHeight="1" x14ac:dyDescent="0.3">
      <c r="D670" s="66"/>
      <c r="I670" s="66"/>
      <c r="J670" s="66"/>
    </row>
    <row r="671" spans="4:10" ht="15.75" customHeight="1" x14ac:dyDescent="0.3">
      <c r="D671" s="66"/>
      <c r="I671" s="66"/>
      <c r="J671" s="66"/>
    </row>
    <row r="672" spans="4:10" ht="15.75" customHeight="1" x14ac:dyDescent="0.3">
      <c r="D672" s="66"/>
      <c r="I672" s="66"/>
      <c r="J672" s="66"/>
    </row>
    <row r="673" spans="4:10" ht="15.75" customHeight="1" x14ac:dyDescent="0.3">
      <c r="D673" s="66"/>
      <c r="I673" s="66"/>
      <c r="J673" s="66"/>
    </row>
    <row r="674" spans="4:10" ht="15.75" customHeight="1" x14ac:dyDescent="0.3">
      <c r="D674" s="66"/>
      <c r="I674" s="66"/>
      <c r="J674" s="66"/>
    </row>
    <row r="675" spans="4:10" ht="15.75" customHeight="1" x14ac:dyDescent="0.3">
      <c r="D675" s="66"/>
      <c r="I675" s="66"/>
      <c r="J675" s="66"/>
    </row>
    <row r="676" spans="4:10" ht="15.75" customHeight="1" x14ac:dyDescent="0.3">
      <c r="D676" s="66"/>
      <c r="I676" s="66"/>
      <c r="J676" s="66"/>
    </row>
    <row r="677" spans="4:10" ht="15.75" customHeight="1" x14ac:dyDescent="0.3">
      <c r="D677" s="66"/>
      <c r="I677" s="66"/>
      <c r="J677" s="66"/>
    </row>
    <row r="678" spans="4:10" ht="15.75" customHeight="1" x14ac:dyDescent="0.3">
      <c r="D678" s="66"/>
      <c r="I678" s="66"/>
      <c r="J678" s="66"/>
    </row>
    <row r="679" spans="4:10" ht="15.75" customHeight="1" x14ac:dyDescent="0.3">
      <c r="D679" s="66"/>
      <c r="I679" s="66"/>
      <c r="J679" s="66"/>
    </row>
    <row r="680" spans="4:10" ht="15.75" customHeight="1" x14ac:dyDescent="0.3">
      <c r="D680" s="66"/>
      <c r="I680" s="66"/>
      <c r="J680" s="66"/>
    </row>
    <row r="681" spans="4:10" ht="15.75" customHeight="1" x14ac:dyDescent="0.3">
      <c r="D681" s="66"/>
      <c r="I681" s="66"/>
      <c r="J681" s="66"/>
    </row>
    <row r="682" spans="4:10" ht="15.75" customHeight="1" x14ac:dyDescent="0.3">
      <c r="D682" s="66"/>
      <c r="I682" s="66"/>
      <c r="J682" s="66"/>
    </row>
    <row r="683" spans="4:10" ht="15.75" customHeight="1" x14ac:dyDescent="0.3">
      <c r="D683" s="66"/>
      <c r="I683" s="66"/>
      <c r="J683" s="66"/>
    </row>
    <row r="684" spans="4:10" ht="15.75" customHeight="1" x14ac:dyDescent="0.3">
      <c r="D684" s="66"/>
      <c r="I684" s="66"/>
      <c r="J684" s="66"/>
    </row>
    <row r="685" spans="4:10" ht="15.75" customHeight="1" x14ac:dyDescent="0.3">
      <c r="D685" s="66"/>
      <c r="I685" s="66"/>
      <c r="J685" s="66"/>
    </row>
    <row r="686" spans="4:10" ht="15.75" customHeight="1" x14ac:dyDescent="0.3">
      <c r="D686" s="66"/>
      <c r="I686" s="66"/>
      <c r="J686" s="66"/>
    </row>
    <row r="687" spans="4:10" ht="15.75" customHeight="1" x14ac:dyDescent="0.3">
      <c r="D687" s="66"/>
      <c r="I687" s="66"/>
      <c r="J687" s="66"/>
    </row>
    <row r="688" spans="4:10" ht="15.75" customHeight="1" x14ac:dyDescent="0.3">
      <c r="D688" s="66"/>
      <c r="I688" s="66"/>
      <c r="J688" s="66"/>
    </row>
    <row r="689" spans="4:10" ht="15.75" customHeight="1" x14ac:dyDescent="0.3">
      <c r="D689" s="66"/>
      <c r="I689" s="66"/>
      <c r="J689" s="66"/>
    </row>
    <row r="690" spans="4:10" ht="15.75" customHeight="1" x14ac:dyDescent="0.3">
      <c r="D690" s="66"/>
      <c r="I690" s="66"/>
      <c r="J690" s="66"/>
    </row>
    <row r="691" spans="4:10" ht="15.75" customHeight="1" x14ac:dyDescent="0.3">
      <c r="D691" s="66"/>
      <c r="I691" s="66"/>
      <c r="J691" s="66"/>
    </row>
    <row r="692" spans="4:10" ht="15.75" customHeight="1" x14ac:dyDescent="0.3">
      <c r="D692" s="66"/>
      <c r="I692" s="66"/>
      <c r="J692" s="66"/>
    </row>
    <row r="693" spans="4:10" ht="15.75" customHeight="1" x14ac:dyDescent="0.3">
      <c r="D693" s="66"/>
      <c r="I693" s="66"/>
      <c r="J693" s="66"/>
    </row>
    <row r="694" spans="4:10" ht="15.75" customHeight="1" x14ac:dyDescent="0.3">
      <c r="D694" s="66"/>
      <c r="I694" s="66"/>
      <c r="J694" s="66"/>
    </row>
    <row r="695" spans="4:10" ht="15.75" customHeight="1" x14ac:dyDescent="0.3">
      <c r="D695" s="66"/>
      <c r="I695" s="66"/>
      <c r="J695" s="66"/>
    </row>
    <row r="696" spans="4:10" ht="15.75" customHeight="1" x14ac:dyDescent="0.3">
      <c r="D696" s="66"/>
      <c r="I696" s="66"/>
      <c r="J696" s="66"/>
    </row>
    <row r="697" spans="4:10" ht="15.75" customHeight="1" x14ac:dyDescent="0.3">
      <c r="D697" s="66"/>
      <c r="I697" s="66"/>
      <c r="J697" s="66"/>
    </row>
    <row r="698" spans="4:10" ht="15.75" customHeight="1" x14ac:dyDescent="0.3">
      <c r="D698" s="66"/>
      <c r="I698" s="66"/>
      <c r="J698" s="66"/>
    </row>
    <row r="699" spans="4:10" ht="15.75" customHeight="1" x14ac:dyDescent="0.3">
      <c r="D699" s="66"/>
      <c r="I699" s="66"/>
      <c r="J699" s="66"/>
    </row>
    <row r="700" spans="4:10" ht="15.75" customHeight="1" x14ac:dyDescent="0.3">
      <c r="D700" s="66"/>
      <c r="I700" s="66"/>
      <c r="J700" s="66"/>
    </row>
    <row r="701" spans="4:10" ht="15.75" customHeight="1" x14ac:dyDescent="0.3">
      <c r="D701" s="66"/>
      <c r="I701" s="66"/>
      <c r="J701" s="66"/>
    </row>
    <row r="702" spans="4:10" ht="15.75" customHeight="1" x14ac:dyDescent="0.3">
      <c r="D702" s="66"/>
      <c r="I702" s="66"/>
      <c r="J702" s="66"/>
    </row>
    <row r="703" spans="4:10" ht="15.75" customHeight="1" x14ac:dyDescent="0.3">
      <c r="D703" s="66"/>
      <c r="I703" s="66"/>
      <c r="J703" s="66"/>
    </row>
    <row r="704" spans="4:10" ht="15.75" customHeight="1" x14ac:dyDescent="0.3">
      <c r="D704" s="66"/>
      <c r="I704" s="66"/>
      <c r="J704" s="66"/>
    </row>
    <row r="705" spans="4:10" ht="15.75" customHeight="1" x14ac:dyDescent="0.3">
      <c r="D705" s="66"/>
      <c r="I705" s="66"/>
      <c r="J705" s="66"/>
    </row>
    <row r="706" spans="4:10" ht="15.75" customHeight="1" x14ac:dyDescent="0.3">
      <c r="D706" s="66"/>
      <c r="I706" s="66"/>
      <c r="J706" s="66"/>
    </row>
    <row r="707" spans="4:10" ht="15.75" customHeight="1" x14ac:dyDescent="0.3">
      <c r="D707" s="66"/>
      <c r="I707" s="66"/>
      <c r="J707" s="66"/>
    </row>
    <row r="708" spans="4:10" ht="15.75" customHeight="1" x14ac:dyDescent="0.3">
      <c r="D708" s="66"/>
      <c r="I708" s="66"/>
      <c r="J708" s="66"/>
    </row>
    <row r="709" spans="4:10" ht="15.75" customHeight="1" x14ac:dyDescent="0.3">
      <c r="D709" s="66"/>
      <c r="I709" s="66"/>
      <c r="J709" s="66"/>
    </row>
    <row r="710" spans="4:10" ht="15.75" customHeight="1" x14ac:dyDescent="0.3">
      <c r="D710" s="66"/>
      <c r="I710" s="66"/>
      <c r="J710" s="66"/>
    </row>
    <row r="711" spans="4:10" ht="15.75" customHeight="1" x14ac:dyDescent="0.3">
      <c r="D711" s="66"/>
      <c r="I711" s="66"/>
      <c r="J711" s="66"/>
    </row>
    <row r="712" spans="4:10" ht="15.75" customHeight="1" x14ac:dyDescent="0.3">
      <c r="D712" s="66"/>
      <c r="I712" s="66"/>
      <c r="J712" s="66"/>
    </row>
    <row r="713" spans="4:10" ht="15.75" customHeight="1" x14ac:dyDescent="0.3">
      <c r="D713" s="66"/>
      <c r="I713" s="66"/>
      <c r="J713" s="66"/>
    </row>
    <row r="714" spans="4:10" ht="15.75" customHeight="1" x14ac:dyDescent="0.3">
      <c r="D714" s="66"/>
      <c r="I714" s="66"/>
      <c r="J714" s="66"/>
    </row>
    <row r="715" spans="4:10" ht="15.75" customHeight="1" x14ac:dyDescent="0.3">
      <c r="D715" s="66"/>
      <c r="I715" s="66"/>
      <c r="J715" s="66"/>
    </row>
    <row r="716" spans="4:10" ht="15.75" customHeight="1" x14ac:dyDescent="0.3">
      <c r="D716" s="66"/>
      <c r="I716" s="66"/>
      <c r="J716" s="66"/>
    </row>
    <row r="717" spans="4:10" ht="15.75" customHeight="1" x14ac:dyDescent="0.3">
      <c r="D717" s="66"/>
      <c r="I717" s="66"/>
      <c r="J717" s="66"/>
    </row>
    <row r="718" spans="4:10" ht="15.75" customHeight="1" x14ac:dyDescent="0.3">
      <c r="D718" s="66"/>
      <c r="I718" s="66"/>
      <c r="J718" s="66"/>
    </row>
    <row r="719" spans="4:10" ht="15.75" customHeight="1" x14ac:dyDescent="0.3">
      <c r="D719" s="66"/>
      <c r="I719" s="66"/>
      <c r="J719" s="66"/>
    </row>
    <row r="720" spans="4:10" ht="15.75" customHeight="1" x14ac:dyDescent="0.3">
      <c r="D720" s="66"/>
      <c r="I720" s="66"/>
      <c r="J720" s="66"/>
    </row>
    <row r="721" spans="4:10" ht="15.75" customHeight="1" x14ac:dyDescent="0.3">
      <c r="D721" s="66"/>
      <c r="I721" s="66"/>
      <c r="J721" s="66"/>
    </row>
    <row r="722" spans="4:10" ht="15.75" customHeight="1" x14ac:dyDescent="0.3">
      <c r="D722" s="66"/>
      <c r="I722" s="66"/>
      <c r="J722" s="66"/>
    </row>
    <row r="723" spans="4:10" ht="15.75" customHeight="1" x14ac:dyDescent="0.3">
      <c r="D723" s="66"/>
      <c r="I723" s="66"/>
      <c r="J723" s="66"/>
    </row>
    <row r="724" spans="4:10" ht="15.75" customHeight="1" x14ac:dyDescent="0.3">
      <c r="D724" s="66"/>
      <c r="I724" s="66"/>
      <c r="J724" s="66"/>
    </row>
    <row r="725" spans="4:10" ht="15.75" customHeight="1" x14ac:dyDescent="0.3">
      <c r="D725" s="66"/>
      <c r="I725" s="66"/>
      <c r="J725" s="66"/>
    </row>
    <row r="726" spans="4:10" ht="15.75" customHeight="1" x14ac:dyDescent="0.3">
      <c r="D726" s="66"/>
      <c r="I726" s="66"/>
      <c r="J726" s="66"/>
    </row>
    <row r="727" spans="4:10" ht="15.75" customHeight="1" x14ac:dyDescent="0.3">
      <c r="D727" s="66"/>
      <c r="I727" s="66"/>
      <c r="J727" s="66"/>
    </row>
    <row r="728" spans="4:10" ht="15.75" customHeight="1" x14ac:dyDescent="0.3">
      <c r="D728" s="66"/>
      <c r="I728" s="66"/>
      <c r="J728" s="66"/>
    </row>
    <row r="729" spans="4:10" ht="15.75" customHeight="1" x14ac:dyDescent="0.3">
      <c r="D729" s="66"/>
      <c r="I729" s="66"/>
      <c r="J729" s="66"/>
    </row>
    <row r="730" spans="4:10" ht="15.75" customHeight="1" x14ac:dyDescent="0.3">
      <c r="D730" s="66"/>
      <c r="I730" s="66"/>
      <c r="J730" s="66"/>
    </row>
    <row r="731" spans="4:10" ht="15.75" customHeight="1" x14ac:dyDescent="0.3">
      <c r="D731" s="66"/>
      <c r="I731" s="66"/>
      <c r="J731" s="66"/>
    </row>
    <row r="732" spans="4:10" ht="15.75" customHeight="1" x14ac:dyDescent="0.3">
      <c r="D732" s="66"/>
      <c r="I732" s="66"/>
      <c r="J732" s="66"/>
    </row>
    <row r="733" spans="4:10" ht="15.75" customHeight="1" x14ac:dyDescent="0.3">
      <c r="D733" s="66"/>
      <c r="I733" s="66"/>
      <c r="J733" s="66"/>
    </row>
    <row r="734" spans="4:10" ht="15.75" customHeight="1" x14ac:dyDescent="0.3">
      <c r="D734" s="66"/>
      <c r="I734" s="66"/>
      <c r="J734" s="66"/>
    </row>
    <row r="735" spans="4:10" ht="15.75" customHeight="1" x14ac:dyDescent="0.3">
      <c r="D735" s="66"/>
      <c r="I735" s="66"/>
      <c r="J735" s="66"/>
    </row>
    <row r="736" spans="4:10" ht="15.75" customHeight="1" x14ac:dyDescent="0.3">
      <c r="D736" s="66"/>
      <c r="I736" s="66"/>
      <c r="J736" s="66"/>
    </row>
    <row r="737" spans="4:10" ht="15.75" customHeight="1" x14ac:dyDescent="0.3">
      <c r="D737" s="66"/>
      <c r="I737" s="66"/>
      <c r="J737" s="66"/>
    </row>
    <row r="738" spans="4:10" ht="15.75" customHeight="1" x14ac:dyDescent="0.3">
      <c r="D738" s="66"/>
      <c r="I738" s="66"/>
      <c r="J738" s="66"/>
    </row>
    <row r="739" spans="4:10" ht="15.75" customHeight="1" x14ac:dyDescent="0.3">
      <c r="D739" s="66"/>
      <c r="I739" s="66"/>
      <c r="J739" s="66"/>
    </row>
    <row r="740" spans="4:10" ht="15.75" customHeight="1" x14ac:dyDescent="0.3">
      <c r="D740" s="66"/>
      <c r="I740" s="66"/>
      <c r="J740" s="66"/>
    </row>
    <row r="741" spans="4:10" ht="15.75" customHeight="1" x14ac:dyDescent="0.3">
      <c r="D741" s="66"/>
      <c r="I741" s="66"/>
      <c r="J741" s="66"/>
    </row>
    <row r="742" spans="4:10" ht="15.75" customHeight="1" x14ac:dyDescent="0.3">
      <c r="D742" s="66"/>
      <c r="I742" s="66"/>
      <c r="J742" s="66"/>
    </row>
    <row r="743" spans="4:10" ht="15.75" customHeight="1" x14ac:dyDescent="0.3">
      <c r="D743" s="66"/>
      <c r="I743" s="66"/>
      <c r="J743" s="66"/>
    </row>
    <row r="744" spans="4:10" ht="15.75" customHeight="1" x14ac:dyDescent="0.3">
      <c r="D744" s="66"/>
      <c r="I744" s="66"/>
      <c r="J744" s="66"/>
    </row>
    <row r="745" spans="4:10" ht="15.75" customHeight="1" x14ac:dyDescent="0.3">
      <c r="D745" s="66"/>
      <c r="I745" s="66"/>
      <c r="J745" s="66"/>
    </row>
    <row r="746" spans="4:10" ht="15.75" customHeight="1" x14ac:dyDescent="0.3">
      <c r="D746" s="66"/>
      <c r="I746" s="66"/>
      <c r="J746" s="66"/>
    </row>
    <row r="747" spans="4:10" ht="15.75" customHeight="1" x14ac:dyDescent="0.3">
      <c r="D747" s="66"/>
      <c r="I747" s="66"/>
      <c r="J747" s="66"/>
    </row>
    <row r="748" spans="4:10" ht="15.75" customHeight="1" x14ac:dyDescent="0.3">
      <c r="D748" s="66"/>
      <c r="I748" s="66"/>
      <c r="J748" s="66"/>
    </row>
    <row r="749" spans="4:10" ht="15.75" customHeight="1" x14ac:dyDescent="0.3">
      <c r="D749" s="66"/>
      <c r="I749" s="66"/>
      <c r="J749" s="66"/>
    </row>
    <row r="750" spans="4:10" ht="15.75" customHeight="1" x14ac:dyDescent="0.3">
      <c r="D750" s="66"/>
      <c r="I750" s="66"/>
      <c r="J750" s="66"/>
    </row>
    <row r="751" spans="4:10" ht="15.75" customHeight="1" x14ac:dyDescent="0.3">
      <c r="D751" s="66"/>
      <c r="I751" s="66"/>
      <c r="J751" s="66"/>
    </row>
    <row r="752" spans="4:10" ht="15.75" customHeight="1" x14ac:dyDescent="0.3">
      <c r="D752" s="66"/>
      <c r="I752" s="66"/>
      <c r="J752" s="66"/>
    </row>
    <row r="753" spans="4:10" ht="15.75" customHeight="1" x14ac:dyDescent="0.3">
      <c r="D753" s="66"/>
      <c r="I753" s="66"/>
      <c r="J753" s="66"/>
    </row>
    <row r="754" spans="4:10" ht="15.75" customHeight="1" x14ac:dyDescent="0.3">
      <c r="D754" s="66"/>
      <c r="I754" s="66"/>
      <c r="J754" s="66"/>
    </row>
    <row r="755" spans="4:10" ht="15.75" customHeight="1" x14ac:dyDescent="0.3">
      <c r="D755" s="66"/>
      <c r="I755" s="66"/>
      <c r="J755" s="66"/>
    </row>
    <row r="756" spans="4:10" ht="15.75" customHeight="1" x14ac:dyDescent="0.3">
      <c r="D756" s="66"/>
      <c r="I756" s="66"/>
      <c r="J756" s="66"/>
    </row>
    <row r="757" spans="4:10" ht="15.75" customHeight="1" x14ac:dyDescent="0.3">
      <c r="D757" s="66"/>
      <c r="I757" s="66"/>
      <c r="J757" s="66"/>
    </row>
    <row r="758" spans="4:10" ht="15.75" customHeight="1" x14ac:dyDescent="0.3">
      <c r="D758" s="66"/>
      <c r="I758" s="66"/>
      <c r="J758" s="66"/>
    </row>
    <row r="759" spans="4:10" ht="15.75" customHeight="1" x14ac:dyDescent="0.3">
      <c r="D759" s="66"/>
      <c r="I759" s="66"/>
      <c r="J759" s="66"/>
    </row>
    <row r="760" spans="4:10" ht="15.75" customHeight="1" x14ac:dyDescent="0.3">
      <c r="D760" s="66"/>
      <c r="I760" s="66"/>
      <c r="J760" s="66"/>
    </row>
    <row r="761" spans="4:10" ht="15.75" customHeight="1" x14ac:dyDescent="0.3">
      <c r="D761" s="66"/>
      <c r="I761" s="66"/>
      <c r="J761" s="66"/>
    </row>
    <row r="762" spans="4:10" ht="15.75" customHeight="1" x14ac:dyDescent="0.3">
      <c r="D762" s="66"/>
      <c r="I762" s="66"/>
      <c r="J762" s="66"/>
    </row>
    <row r="763" spans="4:10" ht="15.75" customHeight="1" x14ac:dyDescent="0.3">
      <c r="D763" s="66"/>
      <c r="I763" s="66"/>
      <c r="J763" s="66"/>
    </row>
    <row r="764" spans="4:10" ht="15.75" customHeight="1" x14ac:dyDescent="0.3">
      <c r="D764" s="66"/>
      <c r="I764" s="66"/>
      <c r="J764" s="66"/>
    </row>
    <row r="765" spans="4:10" ht="15.75" customHeight="1" x14ac:dyDescent="0.3">
      <c r="D765" s="66"/>
      <c r="I765" s="66"/>
      <c r="J765" s="66"/>
    </row>
    <row r="766" spans="4:10" ht="15.75" customHeight="1" x14ac:dyDescent="0.3">
      <c r="D766" s="66"/>
      <c r="I766" s="66"/>
      <c r="J766" s="66"/>
    </row>
    <row r="767" spans="4:10" ht="15.75" customHeight="1" x14ac:dyDescent="0.3">
      <c r="D767" s="66"/>
      <c r="I767" s="66"/>
      <c r="J767" s="66"/>
    </row>
    <row r="768" spans="4:10" ht="15.75" customHeight="1" x14ac:dyDescent="0.3">
      <c r="D768" s="66"/>
      <c r="I768" s="66"/>
      <c r="J768" s="66"/>
    </row>
    <row r="769" spans="4:10" ht="15.75" customHeight="1" x14ac:dyDescent="0.3">
      <c r="D769" s="66"/>
      <c r="I769" s="66"/>
      <c r="J769" s="66"/>
    </row>
    <row r="770" spans="4:10" ht="15.75" customHeight="1" x14ac:dyDescent="0.3">
      <c r="D770" s="66"/>
      <c r="I770" s="66"/>
      <c r="J770" s="66"/>
    </row>
    <row r="771" spans="4:10" ht="15.75" customHeight="1" x14ac:dyDescent="0.3">
      <c r="D771" s="66"/>
      <c r="I771" s="66"/>
      <c r="J771" s="66"/>
    </row>
    <row r="772" spans="4:10" ht="15.75" customHeight="1" x14ac:dyDescent="0.3">
      <c r="D772" s="66"/>
      <c r="I772" s="66"/>
      <c r="J772" s="66"/>
    </row>
    <row r="773" spans="4:10" ht="15.75" customHeight="1" x14ac:dyDescent="0.3">
      <c r="D773" s="66"/>
      <c r="I773" s="66"/>
      <c r="J773" s="66"/>
    </row>
    <row r="774" spans="4:10" ht="15.75" customHeight="1" x14ac:dyDescent="0.3">
      <c r="D774" s="66"/>
      <c r="I774" s="66"/>
      <c r="J774" s="66"/>
    </row>
    <row r="775" spans="4:10" ht="15.75" customHeight="1" x14ac:dyDescent="0.3">
      <c r="D775" s="66"/>
      <c r="I775" s="66"/>
      <c r="J775" s="66"/>
    </row>
    <row r="776" spans="4:10" ht="15.75" customHeight="1" x14ac:dyDescent="0.3">
      <c r="D776" s="66"/>
      <c r="I776" s="66"/>
      <c r="J776" s="66"/>
    </row>
    <row r="777" spans="4:10" ht="15.75" customHeight="1" x14ac:dyDescent="0.3">
      <c r="D777" s="66"/>
      <c r="I777" s="66"/>
      <c r="J777" s="66"/>
    </row>
    <row r="778" spans="4:10" ht="15.75" customHeight="1" x14ac:dyDescent="0.3">
      <c r="D778" s="66"/>
      <c r="I778" s="66"/>
      <c r="J778" s="66"/>
    </row>
    <row r="779" spans="4:10" ht="15.75" customHeight="1" x14ac:dyDescent="0.3">
      <c r="D779" s="66"/>
      <c r="I779" s="66"/>
      <c r="J779" s="66"/>
    </row>
    <row r="780" spans="4:10" ht="15.75" customHeight="1" x14ac:dyDescent="0.3">
      <c r="D780" s="66"/>
      <c r="I780" s="66"/>
      <c r="J780" s="66"/>
    </row>
    <row r="781" spans="4:10" ht="15.75" customHeight="1" x14ac:dyDescent="0.3">
      <c r="D781" s="66"/>
      <c r="I781" s="66"/>
      <c r="J781" s="66"/>
    </row>
    <row r="782" spans="4:10" ht="15.75" customHeight="1" x14ac:dyDescent="0.3">
      <c r="D782" s="66"/>
      <c r="I782" s="66"/>
      <c r="J782" s="66"/>
    </row>
    <row r="783" spans="4:10" ht="15.75" customHeight="1" x14ac:dyDescent="0.3">
      <c r="D783" s="66"/>
      <c r="I783" s="66"/>
      <c r="J783" s="66"/>
    </row>
    <row r="784" spans="4:10" ht="15.75" customHeight="1" x14ac:dyDescent="0.3">
      <c r="D784" s="66"/>
      <c r="I784" s="66"/>
      <c r="J784" s="66"/>
    </row>
    <row r="785" spans="4:10" ht="15.75" customHeight="1" x14ac:dyDescent="0.3">
      <c r="D785" s="66"/>
      <c r="I785" s="66"/>
      <c r="J785" s="66"/>
    </row>
    <row r="786" spans="4:10" ht="15.75" customHeight="1" x14ac:dyDescent="0.3">
      <c r="D786" s="66"/>
      <c r="I786" s="66"/>
      <c r="J786" s="66"/>
    </row>
    <row r="787" spans="4:10" ht="15.75" customHeight="1" x14ac:dyDescent="0.3">
      <c r="D787" s="66"/>
      <c r="I787" s="66"/>
      <c r="J787" s="66"/>
    </row>
    <row r="788" spans="4:10" ht="15.75" customHeight="1" x14ac:dyDescent="0.3">
      <c r="D788" s="66"/>
      <c r="I788" s="66"/>
      <c r="J788" s="66"/>
    </row>
    <row r="789" spans="4:10" ht="15.75" customHeight="1" x14ac:dyDescent="0.3">
      <c r="D789" s="66"/>
      <c r="I789" s="66"/>
      <c r="J789" s="66"/>
    </row>
    <row r="790" spans="4:10" ht="15.75" customHeight="1" x14ac:dyDescent="0.3">
      <c r="D790" s="66"/>
      <c r="I790" s="66"/>
      <c r="J790" s="66"/>
    </row>
    <row r="791" spans="4:10" ht="15.75" customHeight="1" x14ac:dyDescent="0.3">
      <c r="D791" s="66"/>
      <c r="I791" s="66"/>
      <c r="J791" s="66"/>
    </row>
    <row r="792" spans="4:10" ht="15.75" customHeight="1" x14ac:dyDescent="0.3">
      <c r="D792" s="66"/>
      <c r="I792" s="66"/>
      <c r="J792" s="66"/>
    </row>
    <row r="793" spans="4:10" ht="15.75" customHeight="1" x14ac:dyDescent="0.3">
      <c r="D793" s="66"/>
      <c r="I793" s="66"/>
      <c r="J793" s="66"/>
    </row>
    <row r="794" spans="4:10" ht="15.75" customHeight="1" x14ac:dyDescent="0.3">
      <c r="D794" s="66"/>
      <c r="I794" s="66"/>
      <c r="J794" s="66"/>
    </row>
    <row r="795" spans="4:10" ht="15.75" customHeight="1" x14ac:dyDescent="0.3">
      <c r="D795" s="66"/>
      <c r="I795" s="66"/>
      <c r="J795" s="66"/>
    </row>
    <row r="796" spans="4:10" ht="15.75" customHeight="1" x14ac:dyDescent="0.3">
      <c r="D796" s="66"/>
      <c r="I796" s="66"/>
      <c r="J796" s="66"/>
    </row>
    <row r="797" spans="4:10" ht="15.75" customHeight="1" x14ac:dyDescent="0.3">
      <c r="D797" s="66"/>
      <c r="I797" s="66"/>
      <c r="J797" s="66"/>
    </row>
    <row r="798" spans="4:10" ht="15.75" customHeight="1" x14ac:dyDescent="0.3">
      <c r="D798" s="66"/>
      <c r="I798" s="66"/>
      <c r="J798" s="66"/>
    </row>
    <row r="799" spans="4:10" ht="15.75" customHeight="1" x14ac:dyDescent="0.3">
      <c r="D799" s="66"/>
      <c r="I799" s="66"/>
      <c r="J799" s="66"/>
    </row>
    <row r="800" spans="4:10" ht="15.75" customHeight="1" x14ac:dyDescent="0.3">
      <c r="D800" s="66"/>
      <c r="I800" s="66"/>
      <c r="J800" s="66"/>
    </row>
    <row r="801" spans="4:10" ht="15.75" customHeight="1" x14ac:dyDescent="0.3">
      <c r="D801" s="66"/>
      <c r="I801" s="66"/>
      <c r="J801" s="66"/>
    </row>
    <row r="802" spans="4:10" ht="15.75" customHeight="1" x14ac:dyDescent="0.3">
      <c r="D802" s="66"/>
      <c r="I802" s="66"/>
      <c r="J802" s="66"/>
    </row>
    <row r="803" spans="4:10" ht="15.75" customHeight="1" x14ac:dyDescent="0.3">
      <c r="D803" s="66"/>
      <c r="I803" s="66"/>
      <c r="J803" s="66"/>
    </row>
    <row r="804" spans="4:10" ht="15.75" customHeight="1" x14ac:dyDescent="0.3">
      <c r="D804" s="66"/>
      <c r="I804" s="66"/>
      <c r="J804" s="66"/>
    </row>
    <row r="805" spans="4:10" ht="15.75" customHeight="1" x14ac:dyDescent="0.3">
      <c r="D805" s="66"/>
      <c r="I805" s="66"/>
      <c r="J805" s="66"/>
    </row>
    <row r="806" spans="4:10" ht="15.75" customHeight="1" x14ac:dyDescent="0.3">
      <c r="D806" s="66"/>
      <c r="I806" s="66"/>
      <c r="J806" s="66"/>
    </row>
    <row r="807" spans="4:10" ht="15.75" customHeight="1" x14ac:dyDescent="0.3">
      <c r="D807" s="66"/>
      <c r="I807" s="66"/>
      <c r="J807" s="66"/>
    </row>
    <row r="808" spans="4:10" ht="15.75" customHeight="1" x14ac:dyDescent="0.3">
      <c r="D808" s="66"/>
      <c r="I808" s="66"/>
      <c r="J808" s="66"/>
    </row>
    <row r="809" spans="4:10" ht="15.75" customHeight="1" x14ac:dyDescent="0.3">
      <c r="D809" s="66"/>
      <c r="I809" s="66"/>
      <c r="J809" s="66"/>
    </row>
    <row r="810" spans="4:10" ht="15.75" customHeight="1" x14ac:dyDescent="0.3">
      <c r="D810" s="66"/>
      <c r="I810" s="66"/>
      <c r="J810" s="66"/>
    </row>
    <row r="811" spans="4:10" ht="15.75" customHeight="1" x14ac:dyDescent="0.3">
      <c r="D811" s="66"/>
      <c r="I811" s="66"/>
      <c r="J811" s="66"/>
    </row>
    <row r="812" spans="4:10" ht="15.75" customHeight="1" x14ac:dyDescent="0.3">
      <c r="D812" s="66"/>
      <c r="I812" s="66"/>
      <c r="J812" s="66"/>
    </row>
    <row r="813" spans="4:10" ht="15.75" customHeight="1" x14ac:dyDescent="0.3">
      <c r="D813" s="66"/>
      <c r="I813" s="66"/>
      <c r="J813" s="66"/>
    </row>
    <row r="814" spans="4:10" ht="15.75" customHeight="1" x14ac:dyDescent="0.3">
      <c r="D814" s="66"/>
      <c r="I814" s="66"/>
      <c r="J814" s="66"/>
    </row>
    <row r="815" spans="4:10" ht="15.75" customHeight="1" x14ac:dyDescent="0.3">
      <c r="D815" s="66"/>
      <c r="I815" s="66"/>
      <c r="J815" s="66"/>
    </row>
    <row r="816" spans="4:10" ht="15.75" customHeight="1" x14ac:dyDescent="0.3">
      <c r="D816" s="66"/>
      <c r="I816" s="66"/>
      <c r="J816" s="66"/>
    </row>
    <row r="817" spans="4:10" ht="15.75" customHeight="1" x14ac:dyDescent="0.3">
      <c r="D817" s="66"/>
      <c r="I817" s="66"/>
      <c r="J817" s="66"/>
    </row>
    <row r="818" spans="4:10" ht="15.75" customHeight="1" x14ac:dyDescent="0.3">
      <c r="D818" s="66"/>
      <c r="I818" s="66"/>
      <c r="J818" s="66"/>
    </row>
    <row r="819" spans="4:10" ht="15.75" customHeight="1" x14ac:dyDescent="0.3">
      <c r="D819" s="66"/>
      <c r="I819" s="66"/>
      <c r="J819" s="66"/>
    </row>
    <row r="820" spans="4:10" ht="15.75" customHeight="1" x14ac:dyDescent="0.3">
      <c r="D820" s="66"/>
      <c r="I820" s="66"/>
      <c r="J820" s="66"/>
    </row>
    <row r="821" spans="4:10" ht="15.75" customHeight="1" x14ac:dyDescent="0.3">
      <c r="D821" s="66"/>
      <c r="I821" s="66"/>
      <c r="J821" s="66"/>
    </row>
    <row r="822" spans="4:10" ht="15.75" customHeight="1" x14ac:dyDescent="0.3">
      <c r="D822" s="66"/>
      <c r="I822" s="66"/>
      <c r="J822" s="66"/>
    </row>
    <row r="823" spans="4:10" ht="15.75" customHeight="1" x14ac:dyDescent="0.3">
      <c r="D823" s="66"/>
      <c r="I823" s="66"/>
      <c r="J823" s="66"/>
    </row>
    <row r="824" spans="4:10" ht="15.75" customHeight="1" x14ac:dyDescent="0.3">
      <c r="D824" s="66"/>
      <c r="I824" s="66"/>
      <c r="J824" s="66"/>
    </row>
    <row r="825" spans="4:10" ht="15.75" customHeight="1" x14ac:dyDescent="0.3">
      <c r="D825" s="66"/>
      <c r="I825" s="66"/>
      <c r="J825" s="66"/>
    </row>
    <row r="826" spans="4:10" ht="15.75" customHeight="1" x14ac:dyDescent="0.3">
      <c r="D826" s="66"/>
      <c r="I826" s="66"/>
      <c r="J826" s="66"/>
    </row>
    <row r="827" spans="4:10" ht="15.75" customHeight="1" x14ac:dyDescent="0.3">
      <c r="D827" s="66"/>
      <c r="I827" s="66"/>
      <c r="J827" s="66"/>
    </row>
    <row r="828" spans="4:10" ht="15.75" customHeight="1" x14ac:dyDescent="0.3">
      <c r="D828" s="66"/>
      <c r="I828" s="66"/>
      <c r="J828" s="66"/>
    </row>
    <row r="829" spans="4:10" ht="15.75" customHeight="1" x14ac:dyDescent="0.3">
      <c r="D829" s="66"/>
      <c r="I829" s="66"/>
      <c r="J829" s="66"/>
    </row>
    <row r="830" spans="4:10" ht="15.75" customHeight="1" x14ac:dyDescent="0.3">
      <c r="D830" s="66"/>
      <c r="I830" s="66"/>
      <c r="J830" s="66"/>
    </row>
    <row r="831" spans="4:10" ht="15.75" customHeight="1" x14ac:dyDescent="0.3">
      <c r="D831" s="66"/>
      <c r="I831" s="66"/>
      <c r="J831" s="66"/>
    </row>
    <row r="832" spans="4:10" ht="15.75" customHeight="1" x14ac:dyDescent="0.3">
      <c r="D832" s="66"/>
      <c r="I832" s="66"/>
      <c r="J832" s="66"/>
    </row>
    <row r="833" spans="4:10" ht="15.75" customHeight="1" x14ac:dyDescent="0.3">
      <c r="D833" s="66"/>
      <c r="I833" s="66"/>
      <c r="J833" s="66"/>
    </row>
    <row r="834" spans="4:10" ht="15.75" customHeight="1" x14ac:dyDescent="0.3">
      <c r="D834" s="66"/>
      <c r="I834" s="66"/>
      <c r="J834" s="66"/>
    </row>
    <row r="835" spans="4:10" ht="15.75" customHeight="1" x14ac:dyDescent="0.3">
      <c r="D835" s="66"/>
      <c r="I835" s="66"/>
      <c r="J835" s="66"/>
    </row>
    <row r="836" spans="4:10" ht="15.75" customHeight="1" x14ac:dyDescent="0.3">
      <c r="D836" s="66"/>
      <c r="I836" s="66"/>
      <c r="J836" s="66"/>
    </row>
    <row r="837" spans="4:10" ht="15.75" customHeight="1" x14ac:dyDescent="0.3">
      <c r="D837" s="66"/>
      <c r="I837" s="66"/>
      <c r="J837" s="66"/>
    </row>
    <row r="838" spans="4:10" ht="15.75" customHeight="1" x14ac:dyDescent="0.3">
      <c r="D838" s="66"/>
      <c r="I838" s="66"/>
      <c r="J838" s="66"/>
    </row>
    <row r="839" spans="4:10" ht="15.75" customHeight="1" x14ac:dyDescent="0.3">
      <c r="D839" s="66"/>
      <c r="I839" s="66"/>
      <c r="J839" s="66"/>
    </row>
    <row r="840" spans="4:10" ht="15.75" customHeight="1" x14ac:dyDescent="0.3">
      <c r="D840" s="66"/>
      <c r="I840" s="66"/>
      <c r="J840" s="66"/>
    </row>
    <row r="841" spans="4:10" ht="15.75" customHeight="1" x14ac:dyDescent="0.3">
      <c r="D841" s="66"/>
      <c r="I841" s="66"/>
      <c r="J841" s="66"/>
    </row>
    <row r="842" spans="4:10" ht="15.75" customHeight="1" x14ac:dyDescent="0.3">
      <c r="D842" s="66"/>
      <c r="I842" s="66"/>
      <c r="J842" s="66"/>
    </row>
    <row r="843" spans="4:10" ht="15.75" customHeight="1" x14ac:dyDescent="0.3">
      <c r="D843" s="66"/>
      <c r="I843" s="66"/>
      <c r="J843" s="66"/>
    </row>
    <row r="844" spans="4:10" ht="15.75" customHeight="1" x14ac:dyDescent="0.3">
      <c r="D844" s="66"/>
      <c r="I844" s="66"/>
      <c r="J844" s="66"/>
    </row>
    <row r="845" spans="4:10" ht="15.75" customHeight="1" x14ac:dyDescent="0.3">
      <c r="D845" s="66"/>
      <c r="I845" s="66"/>
      <c r="J845" s="66"/>
    </row>
    <row r="846" spans="4:10" ht="15.75" customHeight="1" x14ac:dyDescent="0.3">
      <c r="D846" s="66"/>
      <c r="I846" s="66"/>
      <c r="J846" s="66"/>
    </row>
    <row r="847" spans="4:10" ht="15.75" customHeight="1" x14ac:dyDescent="0.3">
      <c r="D847" s="66"/>
      <c r="I847" s="66"/>
      <c r="J847" s="66"/>
    </row>
    <row r="848" spans="4:10" ht="15.75" customHeight="1" x14ac:dyDescent="0.3">
      <c r="D848" s="66"/>
      <c r="I848" s="66"/>
      <c r="J848" s="66"/>
    </row>
    <row r="849" spans="4:10" ht="15.75" customHeight="1" x14ac:dyDescent="0.3">
      <c r="D849" s="66"/>
      <c r="I849" s="66"/>
      <c r="J849" s="66"/>
    </row>
    <row r="850" spans="4:10" ht="15.75" customHeight="1" x14ac:dyDescent="0.3">
      <c r="D850" s="66"/>
      <c r="I850" s="66"/>
      <c r="J850" s="66"/>
    </row>
    <row r="851" spans="4:10" ht="15.75" customHeight="1" x14ac:dyDescent="0.3">
      <c r="D851" s="66"/>
      <c r="I851" s="66"/>
      <c r="J851" s="66"/>
    </row>
    <row r="852" spans="4:10" ht="15.75" customHeight="1" x14ac:dyDescent="0.3">
      <c r="D852" s="66"/>
      <c r="I852" s="66"/>
      <c r="J852" s="66"/>
    </row>
    <row r="853" spans="4:10" ht="15.75" customHeight="1" x14ac:dyDescent="0.3">
      <c r="D853" s="66"/>
      <c r="I853" s="66"/>
      <c r="J853" s="66"/>
    </row>
    <row r="854" spans="4:10" ht="15.75" customHeight="1" x14ac:dyDescent="0.3">
      <c r="D854" s="66"/>
      <c r="I854" s="66"/>
      <c r="J854" s="66"/>
    </row>
    <row r="855" spans="4:10" ht="15.75" customHeight="1" x14ac:dyDescent="0.3">
      <c r="D855" s="66"/>
      <c r="I855" s="66"/>
      <c r="J855" s="66"/>
    </row>
    <row r="856" spans="4:10" ht="15.75" customHeight="1" x14ac:dyDescent="0.3">
      <c r="D856" s="66"/>
      <c r="I856" s="66"/>
      <c r="J856" s="66"/>
    </row>
    <row r="857" spans="4:10" ht="15.75" customHeight="1" x14ac:dyDescent="0.3">
      <c r="D857" s="66"/>
      <c r="I857" s="66"/>
      <c r="J857" s="66"/>
    </row>
    <row r="858" spans="4:10" ht="15.75" customHeight="1" x14ac:dyDescent="0.3">
      <c r="D858" s="66"/>
      <c r="I858" s="66"/>
      <c r="J858" s="66"/>
    </row>
    <row r="859" spans="4:10" ht="15.75" customHeight="1" x14ac:dyDescent="0.3">
      <c r="D859" s="66"/>
      <c r="I859" s="66"/>
      <c r="J859" s="66"/>
    </row>
    <row r="860" spans="4:10" ht="15.75" customHeight="1" x14ac:dyDescent="0.3">
      <c r="D860" s="66"/>
      <c r="I860" s="66"/>
      <c r="J860" s="66"/>
    </row>
    <row r="861" spans="4:10" ht="15.75" customHeight="1" x14ac:dyDescent="0.3">
      <c r="D861" s="66"/>
      <c r="I861" s="66"/>
      <c r="J861" s="66"/>
    </row>
    <row r="862" spans="4:10" ht="15.75" customHeight="1" x14ac:dyDescent="0.3">
      <c r="D862" s="66"/>
      <c r="I862" s="66"/>
      <c r="J862" s="66"/>
    </row>
    <row r="863" spans="4:10" ht="15.75" customHeight="1" x14ac:dyDescent="0.3">
      <c r="D863" s="66"/>
      <c r="I863" s="66"/>
      <c r="J863" s="66"/>
    </row>
    <row r="864" spans="4:10" ht="15.75" customHeight="1" x14ac:dyDescent="0.3">
      <c r="D864" s="66"/>
      <c r="I864" s="66"/>
      <c r="J864" s="66"/>
    </row>
    <row r="865" spans="4:10" ht="15.75" customHeight="1" x14ac:dyDescent="0.3">
      <c r="D865" s="66"/>
      <c r="I865" s="66"/>
      <c r="J865" s="66"/>
    </row>
    <row r="866" spans="4:10" ht="15.75" customHeight="1" x14ac:dyDescent="0.3">
      <c r="D866" s="66"/>
      <c r="I866" s="66"/>
      <c r="J866" s="66"/>
    </row>
    <row r="867" spans="4:10" ht="15.75" customHeight="1" x14ac:dyDescent="0.3">
      <c r="D867" s="66"/>
      <c r="I867" s="66"/>
      <c r="J867" s="66"/>
    </row>
    <row r="868" spans="4:10" ht="15.75" customHeight="1" x14ac:dyDescent="0.3">
      <c r="D868" s="66"/>
      <c r="I868" s="66"/>
      <c r="J868" s="66"/>
    </row>
    <row r="869" spans="4:10" ht="15.75" customHeight="1" x14ac:dyDescent="0.3">
      <c r="D869" s="66"/>
      <c r="I869" s="66"/>
      <c r="J869" s="66"/>
    </row>
    <row r="870" spans="4:10" ht="15.75" customHeight="1" x14ac:dyDescent="0.3">
      <c r="D870" s="66"/>
      <c r="I870" s="66"/>
      <c r="J870" s="66"/>
    </row>
    <row r="871" spans="4:10" ht="15.75" customHeight="1" x14ac:dyDescent="0.3">
      <c r="D871" s="66"/>
      <c r="I871" s="66"/>
      <c r="J871" s="66"/>
    </row>
    <row r="872" spans="4:10" ht="15.75" customHeight="1" x14ac:dyDescent="0.3">
      <c r="D872" s="66"/>
      <c r="I872" s="66"/>
      <c r="J872" s="66"/>
    </row>
    <row r="873" spans="4:10" ht="15.75" customHeight="1" x14ac:dyDescent="0.3">
      <c r="D873" s="66"/>
      <c r="I873" s="66"/>
      <c r="J873" s="66"/>
    </row>
    <row r="874" spans="4:10" ht="15.75" customHeight="1" x14ac:dyDescent="0.3">
      <c r="D874" s="66"/>
      <c r="I874" s="66"/>
      <c r="J874" s="66"/>
    </row>
    <row r="875" spans="4:10" ht="15.75" customHeight="1" x14ac:dyDescent="0.3">
      <c r="D875" s="66"/>
      <c r="I875" s="66"/>
      <c r="J875" s="66"/>
    </row>
    <row r="876" spans="4:10" ht="15.75" customHeight="1" x14ac:dyDescent="0.3">
      <c r="D876" s="66"/>
      <c r="I876" s="66"/>
      <c r="J876" s="66"/>
    </row>
    <row r="877" spans="4:10" ht="15.75" customHeight="1" x14ac:dyDescent="0.3">
      <c r="D877" s="66"/>
      <c r="I877" s="66"/>
      <c r="J877" s="66"/>
    </row>
    <row r="878" spans="4:10" ht="15.75" customHeight="1" x14ac:dyDescent="0.3">
      <c r="D878" s="66"/>
      <c r="I878" s="66"/>
      <c r="J878" s="66"/>
    </row>
    <row r="879" spans="4:10" ht="15.75" customHeight="1" x14ac:dyDescent="0.3">
      <c r="D879" s="66"/>
      <c r="I879" s="66"/>
      <c r="J879" s="66"/>
    </row>
    <row r="880" spans="4:10" ht="15.75" customHeight="1" x14ac:dyDescent="0.3">
      <c r="D880" s="66"/>
      <c r="I880" s="66"/>
      <c r="J880" s="66"/>
    </row>
    <row r="881" spans="4:10" ht="15.75" customHeight="1" x14ac:dyDescent="0.3">
      <c r="D881" s="66"/>
      <c r="I881" s="66"/>
      <c r="J881" s="66"/>
    </row>
    <row r="882" spans="4:10" ht="15.75" customHeight="1" x14ac:dyDescent="0.3">
      <c r="D882" s="66"/>
      <c r="I882" s="66"/>
      <c r="J882" s="66"/>
    </row>
    <row r="883" spans="4:10" ht="15.75" customHeight="1" x14ac:dyDescent="0.3">
      <c r="D883" s="66"/>
      <c r="I883" s="66"/>
      <c r="J883" s="66"/>
    </row>
    <row r="884" spans="4:10" ht="15.75" customHeight="1" x14ac:dyDescent="0.3">
      <c r="D884" s="66"/>
      <c r="I884" s="66"/>
      <c r="J884" s="66"/>
    </row>
    <row r="885" spans="4:10" ht="15.75" customHeight="1" x14ac:dyDescent="0.3">
      <c r="D885" s="66"/>
      <c r="I885" s="66"/>
      <c r="J885" s="66"/>
    </row>
    <row r="886" spans="4:10" ht="15.75" customHeight="1" x14ac:dyDescent="0.3">
      <c r="D886" s="66"/>
      <c r="I886" s="66"/>
      <c r="J886" s="66"/>
    </row>
    <row r="887" spans="4:10" ht="15.75" customHeight="1" x14ac:dyDescent="0.3">
      <c r="D887" s="66"/>
      <c r="I887" s="66"/>
      <c r="J887" s="66"/>
    </row>
    <row r="888" spans="4:10" ht="15.75" customHeight="1" x14ac:dyDescent="0.3">
      <c r="D888" s="66"/>
      <c r="I888" s="66"/>
      <c r="J888" s="66"/>
    </row>
    <row r="889" spans="4:10" ht="15.75" customHeight="1" x14ac:dyDescent="0.3">
      <c r="D889" s="66"/>
      <c r="I889" s="66"/>
      <c r="J889" s="66"/>
    </row>
    <row r="890" spans="4:10" ht="15.75" customHeight="1" x14ac:dyDescent="0.3">
      <c r="D890" s="66"/>
      <c r="I890" s="66"/>
      <c r="J890" s="66"/>
    </row>
    <row r="891" spans="4:10" ht="15.75" customHeight="1" x14ac:dyDescent="0.3">
      <c r="D891" s="66"/>
      <c r="I891" s="66"/>
      <c r="J891" s="66"/>
    </row>
    <row r="892" spans="4:10" ht="15.75" customHeight="1" x14ac:dyDescent="0.3">
      <c r="D892" s="66"/>
      <c r="I892" s="66"/>
      <c r="J892" s="66"/>
    </row>
    <row r="893" spans="4:10" ht="15.75" customHeight="1" x14ac:dyDescent="0.3">
      <c r="D893" s="66"/>
      <c r="I893" s="66"/>
      <c r="J893" s="66"/>
    </row>
    <row r="894" spans="4:10" ht="15.75" customHeight="1" x14ac:dyDescent="0.3">
      <c r="D894" s="66"/>
      <c r="I894" s="66"/>
      <c r="J894" s="66"/>
    </row>
    <row r="895" spans="4:10" ht="15.75" customHeight="1" x14ac:dyDescent="0.3">
      <c r="D895" s="66"/>
      <c r="I895" s="66"/>
      <c r="J895" s="66"/>
    </row>
    <row r="896" spans="4:10" ht="15.75" customHeight="1" x14ac:dyDescent="0.3">
      <c r="D896" s="66"/>
      <c r="I896" s="66"/>
      <c r="J896" s="66"/>
    </row>
    <row r="897" spans="4:10" ht="15.75" customHeight="1" x14ac:dyDescent="0.3">
      <c r="D897" s="66"/>
      <c r="I897" s="66"/>
      <c r="J897" s="66"/>
    </row>
    <row r="898" spans="4:10" ht="15.75" customHeight="1" x14ac:dyDescent="0.3">
      <c r="D898" s="66"/>
      <c r="I898" s="66"/>
      <c r="J898" s="66"/>
    </row>
    <row r="899" spans="4:10" ht="15.75" customHeight="1" x14ac:dyDescent="0.3">
      <c r="D899" s="66"/>
      <c r="I899" s="66"/>
      <c r="J899" s="66"/>
    </row>
    <row r="900" spans="4:10" ht="15.75" customHeight="1" x14ac:dyDescent="0.3">
      <c r="D900" s="66"/>
      <c r="I900" s="66"/>
      <c r="J900" s="66"/>
    </row>
    <row r="901" spans="4:10" ht="15.75" customHeight="1" x14ac:dyDescent="0.3">
      <c r="D901" s="66"/>
      <c r="I901" s="66"/>
      <c r="J901" s="66"/>
    </row>
    <row r="902" spans="4:10" ht="15.75" customHeight="1" x14ac:dyDescent="0.3">
      <c r="D902" s="66"/>
      <c r="I902" s="66"/>
      <c r="J902" s="66"/>
    </row>
    <row r="903" spans="4:10" ht="15.75" customHeight="1" x14ac:dyDescent="0.3">
      <c r="D903" s="66"/>
      <c r="I903" s="66"/>
      <c r="J903" s="66"/>
    </row>
    <row r="904" spans="4:10" ht="15.75" customHeight="1" x14ac:dyDescent="0.3">
      <c r="D904" s="66"/>
      <c r="I904" s="66"/>
      <c r="J904" s="66"/>
    </row>
    <row r="905" spans="4:10" ht="15.75" customHeight="1" x14ac:dyDescent="0.3">
      <c r="D905" s="66"/>
      <c r="I905" s="66"/>
      <c r="J905" s="66"/>
    </row>
    <row r="906" spans="4:10" ht="15.75" customHeight="1" x14ac:dyDescent="0.3">
      <c r="D906" s="66"/>
      <c r="I906" s="66"/>
      <c r="J906" s="66"/>
    </row>
    <row r="907" spans="4:10" ht="15.75" customHeight="1" x14ac:dyDescent="0.3">
      <c r="D907" s="66"/>
      <c r="I907" s="66"/>
      <c r="J907" s="66"/>
    </row>
    <row r="908" spans="4:10" ht="15.75" customHeight="1" x14ac:dyDescent="0.3">
      <c r="D908" s="66"/>
      <c r="I908" s="66"/>
      <c r="J908" s="66"/>
    </row>
    <row r="909" spans="4:10" ht="15.75" customHeight="1" x14ac:dyDescent="0.3">
      <c r="D909" s="66"/>
      <c r="I909" s="66"/>
      <c r="J909" s="66"/>
    </row>
    <row r="910" spans="4:10" ht="15.75" customHeight="1" x14ac:dyDescent="0.3">
      <c r="D910" s="66"/>
      <c r="I910" s="66"/>
      <c r="J910" s="66"/>
    </row>
    <row r="911" spans="4:10" ht="15.75" customHeight="1" x14ac:dyDescent="0.3">
      <c r="D911" s="66"/>
      <c r="I911" s="66"/>
      <c r="J911" s="66"/>
    </row>
    <row r="912" spans="4:10" ht="15.75" customHeight="1" x14ac:dyDescent="0.3">
      <c r="D912" s="66"/>
      <c r="I912" s="66"/>
      <c r="J912" s="66"/>
    </row>
    <row r="913" spans="4:10" ht="15.75" customHeight="1" x14ac:dyDescent="0.3">
      <c r="D913" s="66"/>
      <c r="I913" s="66"/>
      <c r="J913" s="66"/>
    </row>
    <row r="914" spans="4:10" ht="15.75" customHeight="1" x14ac:dyDescent="0.3">
      <c r="D914" s="66"/>
      <c r="I914" s="66"/>
      <c r="J914" s="66"/>
    </row>
    <row r="915" spans="4:10" ht="15.75" customHeight="1" x14ac:dyDescent="0.3">
      <c r="D915" s="66"/>
      <c r="I915" s="66"/>
      <c r="J915" s="66"/>
    </row>
    <row r="916" spans="4:10" ht="15.75" customHeight="1" x14ac:dyDescent="0.3">
      <c r="D916" s="66"/>
      <c r="I916" s="66"/>
      <c r="J916" s="66"/>
    </row>
    <row r="917" spans="4:10" ht="15.75" customHeight="1" x14ac:dyDescent="0.3">
      <c r="D917" s="66"/>
      <c r="I917" s="66"/>
      <c r="J917" s="66"/>
    </row>
    <row r="918" spans="4:10" ht="15.75" customHeight="1" x14ac:dyDescent="0.3">
      <c r="D918" s="66"/>
      <c r="I918" s="66"/>
      <c r="J918" s="66"/>
    </row>
    <row r="919" spans="4:10" ht="15.75" customHeight="1" x14ac:dyDescent="0.3">
      <c r="D919" s="66"/>
      <c r="I919" s="66"/>
      <c r="J919" s="66"/>
    </row>
    <row r="920" spans="4:10" ht="15.75" customHeight="1" x14ac:dyDescent="0.3">
      <c r="D920" s="66"/>
      <c r="I920" s="66"/>
      <c r="J920" s="66"/>
    </row>
    <row r="921" spans="4:10" ht="15.75" customHeight="1" x14ac:dyDescent="0.3">
      <c r="D921" s="66"/>
      <c r="I921" s="66"/>
      <c r="J921" s="66"/>
    </row>
    <row r="922" spans="4:10" ht="15.75" customHeight="1" x14ac:dyDescent="0.3">
      <c r="D922" s="66"/>
      <c r="I922" s="66"/>
      <c r="J922" s="66"/>
    </row>
    <row r="923" spans="4:10" ht="15.75" customHeight="1" x14ac:dyDescent="0.3">
      <c r="D923" s="66"/>
      <c r="I923" s="66"/>
      <c r="J923" s="66"/>
    </row>
    <row r="924" spans="4:10" ht="15.75" customHeight="1" x14ac:dyDescent="0.3">
      <c r="D924" s="66"/>
      <c r="I924" s="66"/>
      <c r="J924" s="66"/>
    </row>
    <row r="925" spans="4:10" ht="15.75" customHeight="1" x14ac:dyDescent="0.3">
      <c r="D925" s="66"/>
      <c r="I925" s="66"/>
      <c r="J925" s="66"/>
    </row>
    <row r="926" spans="4:10" ht="15.75" customHeight="1" x14ac:dyDescent="0.3">
      <c r="D926" s="66"/>
      <c r="I926" s="66"/>
      <c r="J926" s="66"/>
    </row>
    <row r="927" spans="4:10" ht="15.75" customHeight="1" x14ac:dyDescent="0.3">
      <c r="D927" s="66"/>
      <c r="I927" s="66"/>
      <c r="J927" s="66"/>
    </row>
    <row r="928" spans="4:10" ht="15.75" customHeight="1" x14ac:dyDescent="0.3">
      <c r="D928" s="66"/>
      <c r="I928" s="66"/>
      <c r="J928" s="66"/>
    </row>
    <row r="929" spans="4:10" ht="15.75" customHeight="1" x14ac:dyDescent="0.3">
      <c r="D929" s="66"/>
      <c r="I929" s="66"/>
      <c r="J929" s="66"/>
    </row>
    <row r="930" spans="4:10" ht="15.75" customHeight="1" x14ac:dyDescent="0.3">
      <c r="D930" s="66"/>
      <c r="I930" s="66"/>
      <c r="J930" s="66"/>
    </row>
    <row r="931" spans="4:10" ht="15.75" customHeight="1" x14ac:dyDescent="0.3">
      <c r="D931" s="66"/>
      <c r="I931" s="66"/>
      <c r="J931" s="66"/>
    </row>
    <row r="932" spans="4:10" ht="15.75" customHeight="1" x14ac:dyDescent="0.3">
      <c r="D932" s="66"/>
      <c r="I932" s="66"/>
      <c r="J932" s="66"/>
    </row>
    <row r="933" spans="4:10" ht="15.75" customHeight="1" x14ac:dyDescent="0.3">
      <c r="D933" s="66"/>
      <c r="I933" s="66"/>
      <c r="J933" s="66"/>
    </row>
    <row r="934" spans="4:10" ht="15.75" customHeight="1" x14ac:dyDescent="0.3">
      <c r="D934" s="66"/>
      <c r="I934" s="66"/>
      <c r="J934" s="66"/>
    </row>
    <row r="935" spans="4:10" ht="15.75" customHeight="1" x14ac:dyDescent="0.3">
      <c r="D935" s="66"/>
      <c r="I935" s="66"/>
      <c r="J935" s="66"/>
    </row>
    <row r="936" spans="4:10" ht="15.75" customHeight="1" x14ac:dyDescent="0.3">
      <c r="D936" s="66"/>
      <c r="I936" s="66"/>
      <c r="J936" s="66"/>
    </row>
    <row r="937" spans="4:10" ht="15.75" customHeight="1" x14ac:dyDescent="0.3">
      <c r="D937" s="66"/>
      <c r="I937" s="66"/>
      <c r="J937" s="66"/>
    </row>
    <row r="938" spans="4:10" ht="15.75" customHeight="1" x14ac:dyDescent="0.3">
      <c r="D938" s="66"/>
      <c r="I938" s="66"/>
      <c r="J938" s="66"/>
    </row>
    <row r="939" spans="4:10" ht="15.75" customHeight="1" x14ac:dyDescent="0.3">
      <c r="D939" s="66"/>
      <c r="I939" s="66"/>
      <c r="J939" s="66"/>
    </row>
    <row r="940" spans="4:10" ht="15.75" customHeight="1" x14ac:dyDescent="0.3">
      <c r="D940" s="66"/>
      <c r="I940" s="66"/>
      <c r="J940" s="66"/>
    </row>
    <row r="941" spans="4:10" ht="15.75" customHeight="1" x14ac:dyDescent="0.3">
      <c r="D941" s="66"/>
      <c r="I941" s="66"/>
      <c r="J941" s="66"/>
    </row>
    <row r="942" spans="4:10" ht="15.75" customHeight="1" x14ac:dyDescent="0.3">
      <c r="D942" s="66"/>
      <c r="I942" s="66"/>
      <c r="J942" s="66"/>
    </row>
    <row r="943" spans="4:10" ht="15.75" customHeight="1" x14ac:dyDescent="0.3">
      <c r="D943" s="66"/>
      <c r="I943" s="66"/>
      <c r="J943" s="66"/>
    </row>
    <row r="944" spans="4:10" ht="15.75" customHeight="1" x14ac:dyDescent="0.3">
      <c r="D944" s="66"/>
      <c r="I944" s="66"/>
      <c r="J944" s="66"/>
    </row>
    <row r="945" spans="4:10" ht="15.75" customHeight="1" x14ac:dyDescent="0.3">
      <c r="D945" s="66"/>
      <c r="I945" s="66"/>
      <c r="J945" s="66"/>
    </row>
    <row r="946" spans="4:10" ht="15.75" customHeight="1" x14ac:dyDescent="0.3">
      <c r="D946" s="66"/>
      <c r="I946" s="66"/>
      <c r="J946" s="66"/>
    </row>
    <row r="947" spans="4:10" ht="15.75" customHeight="1" x14ac:dyDescent="0.3">
      <c r="D947" s="66"/>
      <c r="I947" s="66"/>
      <c r="J947" s="66"/>
    </row>
    <row r="948" spans="4:10" ht="15.75" customHeight="1" x14ac:dyDescent="0.3">
      <c r="D948" s="66"/>
      <c r="I948" s="66"/>
      <c r="J948" s="66"/>
    </row>
    <row r="949" spans="4:10" ht="15.75" customHeight="1" x14ac:dyDescent="0.3">
      <c r="D949" s="66"/>
      <c r="I949" s="66"/>
      <c r="J949" s="66"/>
    </row>
    <row r="950" spans="4:10" ht="15.75" customHeight="1" x14ac:dyDescent="0.3">
      <c r="D950" s="66"/>
      <c r="I950" s="66"/>
      <c r="J950" s="66"/>
    </row>
    <row r="951" spans="4:10" ht="15.75" customHeight="1" x14ac:dyDescent="0.3">
      <c r="D951" s="66"/>
      <c r="I951" s="66"/>
      <c r="J951" s="66"/>
    </row>
    <row r="952" spans="4:10" ht="15.75" customHeight="1" x14ac:dyDescent="0.3">
      <c r="D952" s="66"/>
      <c r="I952" s="66"/>
      <c r="J952" s="66"/>
    </row>
    <row r="953" spans="4:10" ht="15.75" customHeight="1" x14ac:dyDescent="0.3">
      <c r="D953" s="66"/>
      <c r="I953" s="66"/>
      <c r="J953" s="66"/>
    </row>
    <row r="954" spans="4:10" ht="15.75" customHeight="1" x14ac:dyDescent="0.3">
      <c r="D954" s="66"/>
      <c r="I954" s="66"/>
      <c r="J954" s="66"/>
    </row>
    <row r="955" spans="4:10" ht="15.75" customHeight="1" x14ac:dyDescent="0.3">
      <c r="D955" s="66"/>
      <c r="I955" s="66"/>
      <c r="J955" s="66"/>
    </row>
    <row r="956" spans="4:10" ht="15.75" customHeight="1" x14ac:dyDescent="0.3">
      <c r="D956" s="66"/>
      <c r="I956" s="66"/>
      <c r="J956" s="66"/>
    </row>
    <row r="957" spans="4:10" ht="15.75" customHeight="1" x14ac:dyDescent="0.3">
      <c r="D957" s="66"/>
      <c r="I957" s="66"/>
      <c r="J957" s="66"/>
    </row>
    <row r="958" spans="4:10" ht="15.75" customHeight="1" x14ac:dyDescent="0.3">
      <c r="D958" s="66"/>
      <c r="I958" s="66"/>
      <c r="J958" s="66"/>
    </row>
    <row r="959" spans="4:10" ht="15.75" customHeight="1" x14ac:dyDescent="0.3">
      <c r="D959" s="66"/>
      <c r="I959" s="66"/>
      <c r="J959" s="66"/>
    </row>
    <row r="960" spans="4:10" ht="15.75" customHeight="1" x14ac:dyDescent="0.3">
      <c r="D960" s="66"/>
      <c r="I960" s="66"/>
      <c r="J960" s="66"/>
    </row>
    <row r="961" spans="4:10" ht="15.75" customHeight="1" x14ac:dyDescent="0.3">
      <c r="D961" s="66"/>
      <c r="I961" s="66"/>
      <c r="J961" s="66"/>
    </row>
    <row r="962" spans="4:10" ht="15.75" customHeight="1" x14ac:dyDescent="0.3">
      <c r="D962" s="66"/>
      <c r="I962" s="66"/>
      <c r="J962" s="66"/>
    </row>
    <row r="963" spans="4:10" ht="15.75" customHeight="1" x14ac:dyDescent="0.3">
      <c r="D963" s="66"/>
      <c r="I963" s="66"/>
      <c r="J963" s="66"/>
    </row>
    <row r="964" spans="4:10" ht="15.75" customHeight="1" x14ac:dyDescent="0.3">
      <c r="D964" s="66"/>
      <c r="I964" s="66"/>
      <c r="J964" s="66"/>
    </row>
    <row r="965" spans="4:10" ht="15.75" customHeight="1" x14ac:dyDescent="0.3">
      <c r="D965" s="66"/>
      <c r="I965" s="66"/>
      <c r="J965" s="66"/>
    </row>
    <row r="966" spans="4:10" ht="15.75" customHeight="1" x14ac:dyDescent="0.3">
      <c r="D966" s="66"/>
      <c r="I966" s="66"/>
      <c r="J966" s="66"/>
    </row>
    <row r="967" spans="4:10" ht="15.75" customHeight="1" x14ac:dyDescent="0.3">
      <c r="D967" s="66"/>
      <c r="I967" s="66"/>
      <c r="J967" s="66"/>
    </row>
    <row r="968" spans="4:10" ht="15.75" customHeight="1" x14ac:dyDescent="0.3">
      <c r="D968" s="66"/>
      <c r="I968" s="66"/>
      <c r="J968" s="66"/>
    </row>
    <row r="969" spans="4:10" ht="15.75" customHeight="1" x14ac:dyDescent="0.3">
      <c r="D969" s="66"/>
      <c r="I969" s="66"/>
      <c r="J969" s="66"/>
    </row>
    <row r="970" spans="4:10" ht="15.75" customHeight="1" x14ac:dyDescent="0.3">
      <c r="D970" s="66"/>
      <c r="I970" s="66"/>
      <c r="J970" s="66"/>
    </row>
    <row r="971" spans="4:10" ht="15.75" customHeight="1" x14ac:dyDescent="0.3">
      <c r="D971" s="66"/>
      <c r="I971" s="66"/>
      <c r="J971" s="66"/>
    </row>
    <row r="972" spans="4:10" ht="15.75" customHeight="1" x14ac:dyDescent="0.3">
      <c r="D972" s="66"/>
      <c r="I972" s="66"/>
      <c r="J972" s="66"/>
    </row>
    <row r="973" spans="4:10" ht="15.75" customHeight="1" x14ac:dyDescent="0.3">
      <c r="D973" s="66"/>
      <c r="I973" s="66"/>
      <c r="J973" s="66"/>
    </row>
    <row r="974" spans="4:10" ht="15.75" customHeight="1" x14ac:dyDescent="0.3">
      <c r="D974" s="66"/>
      <c r="I974" s="66"/>
      <c r="J974" s="66"/>
    </row>
    <row r="975" spans="4:10" ht="15.75" customHeight="1" x14ac:dyDescent="0.3">
      <c r="D975" s="66"/>
      <c r="I975" s="66"/>
      <c r="J975" s="66"/>
    </row>
    <row r="976" spans="4:10" ht="15.75" customHeight="1" x14ac:dyDescent="0.3">
      <c r="D976" s="66"/>
      <c r="I976" s="66"/>
      <c r="J976" s="66"/>
    </row>
    <row r="977" spans="4:10" ht="15.75" customHeight="1" x14ac:dyDescent="0.3">
      <c r="D977" s="66"/>
      <c r="I977" s="66"/>
      <c r="J977" s="66"/>
    </row>
    <row r="978" spans="4:10" ht="15.75" customHeight="1" x14ac:dyDescent="0.3">
      <c r="D978" s="66"/>
      <c r="I978" s="66"/>
      <c r="J978" s="66"/>
    </row>
    <row r="979" spans="4:10" ht="15.75" customHeight="1" x14ac:dyDescent="0.3">
      <c r="D979" s="66"/>
      <c r="I979" s="66"/>
      <c r="J979" s="66"/>
    </row>
    <row r="980" spans="4:10" ht="15.75" customHeight="1" x14ac:dyDescent="0.3">
      <c r="D980" s="66"/>
      <c r="I980" s="66"/>
      <c r="J980" s="66"/>
    </row>
    <row r="981" spans="4:10" ht="15.75" customHeight="1" x14ac:dyDescent="0.3">
      <c r="D981" s="66"/>
      <c r="I981" s="66"/>
      <c r="J981" s="66"/>
    </row>
    <row r="982" spans="4:10" ht="15.75" customHeight="1" x14ac:dyDescent="0.3">
      <c r="D982" s="66"/>
      <c r="I982" s="66"/>
      <c r="J982" s="66"/>
    </row>
    <row r="983" spans="4:10" ht="15.75" customHeight="1" x14ac:dyDescent="0.3">
      <c r="D983" s="66"/>
      <c r="I983" s="66"/>
      <c r="J983" s="66"/>
    </row>
    <row r="984" spans="4:10" ht="15.75" customHeight="1" x14ac:dyDescent="0.3">
      <c r="D984" s="66"/>
      <c r="I984" s="66"/>
      <c r="J984" s="66"/>
    </row>
    <row r="985" spans="4:10" ht="15.75" customHeight="1" x14ac:dyDescent="0.3">
      <c r="D985" s="66"/>
      <c r="I985" s="66"/>
      <c r="J985" s="66"/>
    </row>
    <row r="986" spans="4:10" ht="15.75" customHeight="1" x14ac:dyDescent="0.3">
      <c r="D986" s="66"/>
      <c r="I986" s="66"/>
      <c r="J986" s="66"/>
    </row>
    <row r="987" spans="4:10" ht="15.75" customHeight="1" x14ac:dyDescent="0.3">
      <c r="D987" s="66"/>
      <c r="I987" s="66"/>
      <c r="J987" s="66"/>
    </row>
    <row r="988" spans="4:10" ht="15.75" customHeight="1" x14ac:dyDescent="0.3">
      <c r="D988" s="66"/>
      <c r="I988" s="66"/>
      <c r="J988" s="66"/>
    </row>
    <row r="989" spans="4:10" ht="15.75" customHeight="1" x14ac:dyDescent="0.3">
      <c r="D989" s="66"/>
      <c r="I989" s="66"/>
      <c r="J989" s="66"/>
    </row>
    <row r="990" spans="4:10" ht="15.75" customHeight="1" x14ac:dyDescent="0.3">
      <c r="D990" s="66"/>
      <c r="I990" s="66"/>
      <c r="J990" s="66"/>
    </row>
    <row r="991" spans="4:10" ht="15.75" customHeight="1" x14ac:dyDescent="0.3">
      <c r="D991" s="66"/>
      <c r="I991" s="66"/>
      <c r="J991" s="66"/>
    </row>
    <row r="992" spans="4:10" ht="15.75" customHeight="1" x14ac:dyDescent="0.3">
      <c r="D992" s="66"/>
      <c r="I992" s="66"/>
      <c r="J992" s="66"/>
    </row>
    <row r="993" spans="4:10" ht="15.75" customHeight="1" x14ac:dyDescent="0.3">
      <c r="D993" s="66"/>
      <c r="I993" s="66"/>
      <c r="J993" s="66"/>
    </row>
    <row r="994" spans="4:10" ht="15.75" customHeight="1" x14ac:dyDescent="0.3">
      <c r="D994" s="66"/>
      <c r="I994" s="66"/>
      <c r="J994" s="66"/>
    </row>
    <row r="995" spans="4:10" ht="15.75" customHeight="1" x14ac:dyDescent="0.3">
      <c r="D995" s="66"/>
      <c r="I995" s="66"/>
      <c r="J995" s="66"/>
    </row>
    <row r="996" spans="4:10" ht="15.75" customHeight="1" x14ac:dyDescent="0.3">
      <c r="D996" s="66"/>
      <c r="I996" s="66"/>
      <c r="J996" s="66"/>
    </row>
    <row r="997" spans="4:10" ht="15.75" customHeight="1" x14ac:dyDescent="0.3">
      <c r="D997" s="66"/>
      <c r="I997" s="66"/>
      <c r="J997" s="66"/>
    </row>
    <row r="998" spans="4:10" ht="15.75" customHeight="1" x14ac:dyDescent="0.3">
      <c r="D998" s="66"/>
      <c r="I998" s="66"/>
      <c r="J998" s="66"/>
    </row>
    <row r="999" spans="4:10" ht="15.75" customHeight="1" x14ac:dyDescent="0.3">
      <c r="D999" s="66"/>
      <c r="I999" s="66"/>
      <c r="J999" s="66"/>
    </row>
    <row r="1000" spans="4:10" ht="15.75" customHeight="1" x14ac:dyDescent="0.3">
      <c r="D1000" s="66"/>
      <c r="I1000" s="66"/>
      <c r="J1000" s="66"/>
    </row>
  </sheetData>
  <dataValidations count="4">
    <dataValidation type="list" allowBlank="1" showErrorMessage="1" sqref="J2:J23" xr:uid="{00000000-0002-0000-0100-000000000000}">
      <formula1>"Fase Preliminar,Ronda 1,Ronda 2,Ronda 3,Sin Feedback cliente"</formula1>
    </dataValidation>
    <dataValidation type="list" allowBlank="1" showErrorMessage="1" sqref="I2:I23" xr:uid="{00000000-0002-0000-0100-000001000000}">
      <formula1>"Cancelada,Declinada,En construccion,Ganada,Perdida,Presentada,Fase Preliminar,Retomar Contacto"</formula1>
    </dataValidation>
    <dataValidation type="custom" allowBlank="1" showDropDown="1" sqref="M2:M45 A2:A52" xr:uid="{00000000-0002-0000-0100-000002000000}">
      <formula1>OR(NOT(ISERROR(DATEVALUE(A2))), AND(ISNUMBER(A2), LEFT(CELL("format", A2))="D"))</formula1>
    </dataValidation>
    <dataValidation type="list" allowBlank="1" showErrorMessage="1" sqref="K2:K23" xr:uid="{00000000-0002-0000-0100-000003000000}">
      <formula1>"0%,25%,50%,75%,100%"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LICITACIONES</vt:lpstr>
      <vt:lpstr>BIG DEALS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Quick</dc:creator>
  <cp:keywords/>
  <dc:description/>
  <cp:lastModifiedBy>Quick BI</cp:lastModifiedBy>
  <cp:revision/>
  <dcterms:created xsi:type="dcterms:W3CDTF">2026-02-05T19:25:38Z</dcterms:created>
  <dcterms:modified xsi:type="dcterms:W3CDTF">2026-03-13T14:46:19Z</dcterms:modified>
  <cp:category/>
  <cp:contentStatus/>
</cp:coreProperties>
</file>